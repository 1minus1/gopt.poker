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 Hand Rankings" sheetId="1" r:id="rId5"/>
    <sheet state="visible" name="Raw Data" sheetId="2" r:id="rId6"/>
    <sheet state="visible" name="Bracelets v. Time" sheetId="3" r:id="rId7"/>
    <sheet state="visible" name="Bracelets Pivot" sheetId="4" r:id="rId8"/>
    <sheet state="visible" name="Majors Pivot" sheetId="5" r:id="rId9"/>
    <sheet state="visible" name="Win Rate" sheetId="6" r:id="rId10"/>
    <sheet state="visible" name="Host Order" sheetId="7" r:id="rId11"/>
    <sheet state="visible" name="Matrix" sheetId="8" r:id="rId12"/>
    <sheet state="visible" name="Notes from Jeff (for early even" sheetId="9" r:id="rId13"/>
    <sheet state="hidden" name="GOPT MM Contest" sheetId="10" r:id="rId14"/>
  </sheets>
  <definedNames>
    <definedName hidden="1" localSheetId="1" name="_xlnm._FilterDatabase">'Raw Data'!$A$1:$F$201</definedName>
  </definedNames>
  <calcPr/>
  <pivotCaches>
    <pivotCache cacheId="0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tc={293723a1-adf3-4eac-b311-cc6d3751f0a2}</author>
    <author>tc={897f8df7-629e-4c4a-8652-ebc56ea8402b}</author>
    <author>tc={ae9a2315-df63-4cbe-9fb5-a05f3be1b647}</author>
    <author>tc={bfa10791-efac-4e3a-a61d-2e36c7c0defa}</author>
    <author>tc={c22f2d88-31ee-4edf-8a52-a32a76251687}</author>
    <author>tc={e5783dba-5e32-49b0-b638-d6b6d4296169}</author>
    <author>tc={e8e4a5f1-468c-4266-bbe9-37f9ca2588ff}</author>
  </authors>
  <commentList>
    <comment authorId="0" xr:uid="{293723a1-adf3-4eac-b311-cc6d3751f0a2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Attendance unclear other than Coach and Siri
</t>
      </text>
    </comment>
    <comment authorId="1" xr:uid="{897f8df7-629e-4c4a-8652-ebc56ea8402b}" ref="O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Chad back for Christmas
</t>
      </text>
    </comment>
    <comment authorId="2" xr:uid="{ae9a2315-df63-4cbe-9fb5-a05f3be1b647}" ref="L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#50 in a row
</t>
      </text>
    </comment>
    <comment authorId="3" xr:uid="{bfa10791-efac-4e3a-a61d-2e36c7c0defa}" ref="L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of the 50 streak
</t>
      </text>
    </comment>
    <comment authorId="4" xr:uid="{c22f2d88-31ee-4edf-8a52-a32a76251687}" ref="O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Pneumonia
</t>
      </text>
    </comment>
    <comment authorId="5" xr:uid="{e5783dba-5e32-49b0-b638-d6b6d4296169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Attendance data for Events 1 through 12 is inconclusive in spots (see "Notes from Jeff" tab).
</t>
      </text>
    </comment>
    <comment authorId="6" xr:uid="{e8e4a5f1-468c-4266-bbe9-37f9ca2588ff}" ref="O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Chad in San Diego
</t>
      </text>
    </comment>
  </commentList>
</comments>
</file>

<file path=xl/sharedStrings.xml><?xml version="1.0" encoding="utf-8"?>
<sst xmlns="http://schemas.openxmlformats.org/spreadsheetml/2006/main" count="3260" uniqueCount="164">
  <si>
    <t>Andre</t>
  </si>
  <si>
    <t>Coach</t>
  </si>
  <si>
    <t>Junior</t>
  </si>
  <si>
    <t>Masta Pu$$y</t>
  </si>
  <si>
    <t>Moe</t>
  </si>
  <si>
    <t>Mrs. Clay Matthews</t>
  </si>
  <si>
    <t>Princess Peach</t>
  </si>
  <si>
    <t>Screech</t>
  </si>
  <si>
    <t>Siri</t>
  </si>
  <si>
    <t>The Bieb</t>
  </si>
  <si>
    <t>Waxcuses</t>
  </si>
  <si>
    <t>Attendance</t>
  </si>
  <si>
    <t>Bracelets</t>
  </si>
  <si>
    <t>Majors</t>
  </si>
  <si>
    <t>Exceeds Exp.</t>
  </si>
  <si>
    <t>Total</t>
  </si>
  <si>
    <t>Ranking</t>
  </si>
  <si>
    <t>Player</t>
  </si>
  <si>
    <t>HH Points</t>
  </si>
  <si>
    <t>Event #</t>
  </si>
  <si>
    <t>Date</t>
  </si>
  <si>
    <t>Season</t>
  </si>
  <si>
    <t xml:space="preserve"> </t>
  </si>
  <si>
    <t>Host</t>
  </si>
  <si>
    <t>Winner</t>
  </si>
  <si>
    <t>Flo Rida</t>
  </si>
  <si>
    <t>No Limit</t>
  </si>
  <si>
    <t>2007-2009</t>
  </si>
  <si>
    <t>No</t>
  </si>
  <si>
    <t>Yes</t>
  </si>
  <si>
    <t>AC Baby</t>
  </si>
  <si>
    <t>2009-2010</t>
  </si>
  <si>
    <t>Norman</t>
  </si>
  <si>
    <t>ESSOP</t>
  </si>
  <si>
    <t>2010-2011</t>
  </si>
  <si>
    <t>DP Preview</t>
  </si>
  <si>
    <t>Vegas Baby</t>
  </si>
  <si>
    <t>2011-2012</t>
  </si>
  <si>
    <t>DP Open</t>
  </si>
  <si>
    <t>2012-2013</t>
  </si>
  <si>
    <t>2013-2014</t>
  </si>
  <si>
    <t>2014-2015</t>
  </si>
  <si>
    <t>2015-2016</t>
  </si>
  <si>
    <t>DNO</t>
  </si>
  <si>
    <t>2016-2017</t>
  </si>
  <si>
    <t>2017-2018</t>
  </si>
  <si>
    <t>2018-2019</t>
  </si>
  <si>
    <t>10/24/1018</t>
  </si>
  <si>
    <t>Harrah's</t>
  </si>
  <si>
    <t>2019-2020</t>
  </si>
  <si>
    <t>None (Virtual)</t>
  </si>
  <si>
    <t>2020-2021</t>
  </si>
  <si>
    <t>May</t>
  </si>
  <si>
    <t>June</t>
  </si>
  <si>
    <t>COUNTA of Winner</t>
  </si>
  <si>
    <t>Grand Total</t>
  </si>
  <si>
    <t>Nights Attended</t>
  </si>
  <si>
    <t>Bracelets Won</t>
  </si>
  <si>
    <t>Bracelet Win Rate</t>
  </si>
  <si>
    <t>Names</t>
  </si>
  <si>
    <t>2025 Host Order</t>
  </si>
  <si>
    <t>Last Hosted</t>
  </si>
  <si>
    <t>AC BABY</t>
  </si>
  <si>
    <t>Hold'em Holidays</t>
  </si>
  <si>
    <t>Flo Rida and Screech</t>
  </si>
  <si>
    <t>15-25-55-200 celebration</t>
  </si>
  <si>
    <t>Double Hundge</t>
  </si>
  <si>
    <t>Battle of the Clams</t>
  </si>
  <si>
    <t>North Carolina???</t>
  </si>
  <si>
    <t>P</t>
  </si>
  <si>
    <t>Q</t>
  </si>
  <si>
    <t>Bieb</t>
  </si>
  <si>
    <t>D</t>
  </si>
  <si>
    <t>O</t>
  </si>
  <si>
    <t>Mrs. Clay</t>
  </si>
  <si>
    <t>Matrix Result</t>
  </si>
  <si>
    <t># of Probables</t>
  </si>
  <si>
    <t>2005 APS NCAA DRAFT POOL</t>
  </si>
  <si>
    <t>2025 GOPT March Madness Contest - Picksheet</t>
  </si>
  <si>
    <t>SOUTH</t>
  </si>
  <si>
    <t>EAST</t>
  </si>
  <si>
    <t>MIDWEST</t>
  </si>
  <si>
    <t>WEST</t>
  </si>
  <si>
    <t>↓↓</t>
  </si>
  <si>
    <t>↑↑</t>
  </si>
  <si>
    <t>Auburn</t>
  </si>
  <si>
    <t>Duke</t>
  </si>
  <si>
    <t>Houston</t>
  </si>
  <si>
    <t>Florida</t>
  </si>
  <si>
    <t>St. John's</t>
  </si>
  <si>
    <t>Maryland</t>
  </si>
  <si>
    <t>Michigan</t>
  </si>
  <si>
    <t>Arizona</t>
  </si>
  <si>
    <t>Marquette</t>
  </si>
  <si>
    <t>Kansas</t>
  </si>
  <si>
    <t>St. Marys</t>
  </si>
  <si>
    <t>UCLA</t>
  </si>
  <si>
    <t>Arkansas</t>
  </si>
  <si>
    <t>Yale</t>
  </si>
  <si>
    <t>St. Francis</t>
  </si>
  <si>
    <t>Michigan St.</t>
  </si>
  <si>
    <t>Wisconsin</t>
  </si>
  <si>
    <t>Purdue</t>
  </si>
  <si>
    <t>Vanderbilt</t>
  </si>
  <si>
    <t>Grand Canyon</t>
  </si>
  <si>
    <t>SDSU</t>
  </si>
  <si>
    <t>Alabama</t>
  </si>
  <si>
    <t>Kentucky</t>
  </si>
  <si>
    <t>Texas A&amp;M</t>
  </si>
  <si>
    <t>Illinois</t>
  </si>
  <si>
    <t>Baylor</t>
  </si>
  <si>
    <t>Louisville</t>
  </si>
  <si>
    <t>Oklahoma</t>
  </si>
  <si>
    <t>Xavier</t>
  </si>
  <si>
    <t>American</t>
  </si>
  <si>
    <t>Tennessee</t>
  </si>
  <si>
    <t>Missouri</t>
  </si>
  <si>
    <t>Clemson</t>
  </si>
  <si>
    <t>BYU</t>
  </si>
  <si>
    <t>UCSD</t>
  </si>
  <si>
    <t>Liberty</t>
  </si>
  <si>
    <t>SIUE</t>
  </si>
  <si>
    <t>Texas Tech</t>
  </si>
  <si>
    <t>Connecticut</t>
  </si>
  <si>
    <t>Gonzaga</t>
  </si>
  <si>
    <t>Texas</t>
  </si>
  <si>
    <t>Alabama St</t>
  </si>
  <si>
    <t>Wofford</t>
  </si>
  <si>
    <t>Iowa St.</t>
  </si>
  <si>
    <t>Drake</t>
  </si>
  <si>
    <t>VCU</t>
  </si>
  <si>
    <t>Georgia</t>
  </si>
  <si>
    <t>McNeese</t>
  </si>
  <si>
    <t>Colorado St.</t>
  </si>
  <si>
    <t>Mt. St Mary's</t>
  </si>
  <si>
    <t>Omaha</t>
  </si>
  <si>
    <t>Ole Miss</t>
  </si>
  <si>
    <t>New Mexico</t>
  </si>
  <si>
    <t>Norfolk St</t>
  </si>
  <si>
    <t>Bryant</t>
  </si>
  <si>
    <t>Wax</t>
  </si>
  <si>
    <t>Memphis</t>
  </si>
  <si>
    <t>Oregon</t>
  </si>
  <si>
    <t>Creighton</t>
  </si>
  <si>
    <t>High Point</t>
  </si>
  <si>
    <t>Montana</t>
  </si>
  <si>
    <t>UNC</t>
  </si>
  <si>
    <t>Mississippi St</t>
  </si>
  <si>
    <t>Utah St</t>
  </si>
  <si>
    <t>Troy</t>
  </si>
  <si>
    <t>Masta P.</t>
  </si>
  <si>
    <t>UNCW</t>
  </si>
  <si>
    <t>Robert Morris</t>
  </si>
  <si>
    <t>Lipscomb</t>
  </si>
  <si>
    <t>Akron</t>
  </si>
  <si>
    <t>St. Mary's</t>
  </si>
  <si>
    <t>Mississippi St.</t>
  </si>
  <si>
    <t>Utah State</t>
  </si>
  <si>
    <t>UC San Diego</t>
  </si>
  <si>
    <t>UNC Wilmington</t>
  </si>
  <si>
    <t>Alabama St.</t>
  </si>
  <si>
    <t>Mt. St. Mary's</t>
  </si>
  <si>
    <t>SIU Edwardsville</t>
  </si>
  <si>
    <t>Norfolk 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</si>
</sst>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"/>
    <numFmt numFmtId="166" formatCode="0.000"/>
    <numFmt numFmtId="167" formatCode="mm&quot;-&quot;yy"/>
    <numFmt numFmtId="168" formatCode="&quot;$&quot;#,##0.00"/>
    <numFmt numFmtId="169" formatCode="m/d"/>
    <numFmt numFmtId="170" formatCode="m-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Border="1" applyFill="1" applyFont="1"/>
    <xf borderId="1" fillId="5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 readingOrder="0"/>
    </xf>
    <xf borderId="1" fillId="0" fontId="2" numFmtId="1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7" fontId="2" numFmtId="14" xfId="0" applyAlignment="1" applyBorder="1" applyFill="1" applyFont="1" applyNumberForma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2" numFmtId="166" xfId="0" applyBorder="1" applyFont="1" applyNumberFormat="1"/>
    <xf borderId="1" fillId="9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readingOrder="0"/>
    </xf>
    <xf borderId="1" fillId="10" fontId="2" numFmtId="167" xfId="0" applyAlignment="1" applyBorder="1" applyFill="1" applyFont="1" applyNumberFormat="1">
      <alignment readingOrder="0"/>
    </xf>
    <xf borderId="0" fillId="0" fontId="2" numFmtId="168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168" xfId="0" applyFont="1" applyNumberFormat="1"/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" fillId="11" fontId="2" numFmtId="167" xfId="0" applyAlignment="1" applyBorder="1" applyFill="1" applyFont="1" applyNumberFormat="1">
      <alignment readingOrder="0"/>
    </xf>
    <xf borderId="1" fillId="11" fontId="1" numFmtId="167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1" fillId="12" fontId="1" numFmtId="169" xfId="0" applyAlignment="1" applyBorder="1" applyFill="1" applyFont="1" applyNumberFormat="1">
      <alignment horizontal="center" readingOrder="0" vertical="center"/>
    </xf>
    <xf borderId="1" fillId="13" fontId="2" numFmtId="0" xfId="0" applyAlignment="1" applyBorder="1" applyFill="1" applyFont="1">
      <alignment horizontal="center" readingOrder="0"/>
    </xf>
    <xf borderId="3" fillId="12" fontId="1" numFmtId="0" xfId="0" applyAlignment="1" applyBorder="1" applyFont="1">
      <alignment readingOrder="0"/>
    </xf>
    <xf borderId="1" fillId="12" fontId="1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1" fillId="12" fontId="1" numFmtId="17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4" fillId="0" fontId="6" numFmtId="0" xfId="0" applyBorder="1" applyFont="1"/>
    <xf borderId="6" fillId="0" fontId="5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6" fillId="14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14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Bracelets vs.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'Raw Data'!$W$1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'Raw Data'!$A$2:$A$201</c:f>
            </c:strRef>
          </c:cat>
          <c:val>
            <c:numRef>
              <c:f>'Raw Data'!$W$2:$W$201</c:f>
              <c:numCache/>
            </c:numRef>
          </c:val>
          <c:smooth val="0"/>
        </c:ser>
        <c:ser>
          <c:idx val="1"/>
          <c:order val="1"/>
          <c:tx>
            <c:strRef>
              <c:f>'Raw Data'!$Z$1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76"/>
            <c:marker>
              <c:symbol val="none"/>
            </c:marker>
          </c:dPt>
          <c:cat>
            <c:strRef>
              <c:f>'Raw Data'!$A$2:$A$201</c:f>
            </c:strRef>
          </c:cat>
          <c:val>
            <c:numRef>
              <c:f>'Raw Data'!$Z$2:$Z$201</c:f>
              <c:numCache/>
            </c:numRef>
          </c:val>
          <c:smooth val="0"/>
        </c:ser>
        <c:ser>
          <c:idx val="2"/>
          <c:order val="2"/>
          <c:tx>
            <c:strRef>
              <c:f>'Raw Data'!$AC$1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Pt>
            <c:idx val="175"/>
            <c:marker>
              <c:symbol val="none"/>
            </c:marker>
          </c:dPt>
          <c:dPt>
            <c:idx val="176"/>
            <c:marker>
              <c:symbol val="none"/>
            </c:marker>
          </c:dPt>
          <c:cat>
            <c:strRef>
              <c:f>'Raw Data'!$A$2:$A$201</c:f>
            </c:strRef>
          </c:cat>
          <c:val>
            <c:numRef>
              <c:f>'Raw Data'!$AC$2:$AC$201</c:f>
              <c:numCache/>
            </c:numRef>
          </c:val>
          <c:smooth val="0"/>
        </c:ser>
        <c:ser>
          <c:idx val="3"/>
          <c:order val="3"/>
          <c:tx>
            <c:strRef>
              <c:f>'Raw Data'!$AD$1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'Raw Data'!$A$2:$A$201</c:f>
            </c:strRef>
          </c:cat>
          <c:val>
            <c:numRef>
              <c:f>'Raw Data'!$AD$2:$AD$201</c:f>
              <c:numCache/>
            </c:numRef>
          </c:val>
          <c:smooth val="0"/>
        </c:ser>
        <c:axId val="1522099017"/>
        <c:axId val="1311453093"/>
      </c:lineChart>
      <c:catAx>
        <c:axId val="1522099017"/>
        <c:scaling>
          <c:orientation val="minMax"/>
          <c:max val="2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Event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453093"/>
      </c:catAx>
      <c:valAx>
        <c:axId val="1311453093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Total # of Bracelets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099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Career Bracelets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'Bracelets Pivot'!$B$1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'Bracelets Pivot'!$A$2:$A$13</c:f>
            </c:strRef>
          </c:cat>
          <c:val>
            <c:numRef>
              <c:f>'Bracelets Pivot'!$B$2:$B$13</c:f>
              <c:numCache/>
            </c:numRef>
          </c:val>
        </c:ser>
        <c:axId val="1753210599"/>
        <c:axId val="325555373"/>
      </c:barChart>
      <c:catAx>
        <c:axId val="1753210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Winner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555373"/>
      </c:catAx>
      <c:valAx>
        <c:axId val="325555373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# of Bracelets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210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Career Majors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'Majors Pivot'!$B$1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'Majors Pivot'!$A$2:$A$8</c:f>
            </c:strRef>
          </c:cat>
          <c:val>
            <c:numRef>
              <c:f>'Majors Pivot'!$B$2:$B$8</c:f>
              <c:numCache/>
            </c:numRef>
          </c:val>
        </c:ser>
        <c:axId val="92170033"/>
        <c:axId val="1973043476"/>
      </c:barChart>
      <c:catAx>
        <c:axId val="92170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Winner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043476"/>
      </c:catAx>
      <c:valAx>
        <c:axId val="1973043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# of Majors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70033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Bracelet Win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'Win Rate'!$A$6:$A$16</c:f>
            </c:strRef>
          </c:cat>
          <c:val>
            <c:numRef>
              <c:f>'Win Rate'!$B$6:$B$16</c:f>
              <c:numCache/>
            </c:numRef>
          </c:val>
        </c:ser>
        <c:axId val="579715412"/>
        <c:axId val="585231688"/>
      </c:barChart>
      <c:catAx>
        <c:axId val="579715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231688"/>
      </c:catAx>
      <c:valAx>
        <c:axId val="585231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Bracelet Win Rate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715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9505950" cy="4724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76200</xdr:rowOff>
    </xdr:from>
    <xdr:ext cx="8848725" cy="4572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76200</xdr:rowOff>
    </xdr:from>
    <xdr:ext cx="6791325" cy="4191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4</xdr:row>
      <xdr:rowOff>85725</xdr:rowOff>
    </xdr:from>
    <xdr:ext cx="7934325" cy="4048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</xdr:row>
      <xdr:rowOff>47625</xdr:rowOff>
    </xdr:from>
    <xdr:ext cx="6629400" cy="2085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12</xdr:row>
      <xdr:rowOff>57150</xdr:rowOff>
    </xdr:from>
    <xdr:ext cx="8134350" cy="923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6</xdr:row>
      <xdr:rowOff>76200</xdr:rowOff>
    </xdr:from>
    <xdr:ext cx="8296275" cy="9906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0</xdr:row>
      <xdr:rowOff>133350</xdr:rowOff>
    </xdr:from>
    <xdr:ext cx="7772400" cy="10763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ad Agostinelli" id="{403cf6be-a455-4574-8b61-501dba273f8c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01" sheet="Raw Data"/>
  </cacheSource>
  <cacheFields>
    <cacheField name="Event 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</sharedItems>
    </cacheField>
    <cacheField name="Date">
      <sharedItems containsDate="1" containsMixedTypes="1">
        <d v="2007-11-08T00:00:00Z"/>
        <d v="2008-06-27T00:00:00Z"/>
        <d v="2008-12-04T00:00:00Z"/>
        <d v="2009-01-02T00:00:00Z"/>
        <d v="2009-02-12T00:00:00Z"/>
        <d v="2009-03-12T00:00:00Z"/>
        <d v="2009-04-12T00:00:00Z"/>
        <d v="2009-05-07T00:00:00Z"/>
        <d v="2009-08-31T00:00:00Z"/>
        <d v="2009-09-24T00:00:00Z"/>
        <d v="2009-10-15T00:00:00Z"/>
        <d v="2009-12-03T00:00:00Z"/>
        <d v="2010-01-07T00:00:00Z"/>
        <d v="2010-02-04T00:00:00Z"/>
        <d v="2010-03-10T00:00:00Z"/>
        <d v="2010-04-01T00:00:00Z"/>
        <d v="2010-05-06T00:00:00Z"/>
        <d v="2010-06-30T00:00:00Z"/>
        <d v="2010-08-13T00:00:00Z"/>
        <d v="2010-09-23T00:00:00Z"/>
        <d v="2010-10-28T00:00:00Z"/>
        <d v="2010-12-03T00:00:00Z"/>
        <d v="2010-12-29T00:00:00Z"/>
        <d v="2011-01-27T00:00:00Z"/>
        <d v="2011-03-03T00:00:00Z"/>
        <d v="2011-03-19T00:00:00Z"/>
        <d v="2011-04-21T00:00:00Z"/>
        <d v="2011-05-08T00:00:00Z"/>
        <d v="2011-06-01T00:00:00Z"/>
        <d v="2011-08-04T00:00:00Z"/>
        <d v="2011-09-14T00:00:00Z"/>
        <d v="2011-09-29T00:00:00Z"/>
        <d v="2011-11-10T00:00:00Z"/>
        <d v="2011-12-08T00:00:00Z"/>
        <d v="2011-12-30T00:00:00Z"/>
        <d v="2012-01-26T00:00:00Z"/>
        <d v="2012-02-09T00:00:00Z"/>
        <d v="2012-03-17T00:00:00Z"/>
        <d v="2012-04-05T00:00:00Z"/>
        <d v="2012-05-03T00:00:00Z"/>
        <d v="2012-06-27T00:00:00Z"/>
        <d v="2012-08-14T00:00:00Z"/>
        <d v="2012-09-11T00:00:00Z"/>
        <d v="2012-10-12T00:00:00Z"/>
        <d v="2012-11-14T00:00:00Z"/>
        <d v="2012-12-30T00:00:00Z"/>
        <d v="2013-01-17T00:00:00Z"/>
        <d v="2013-02-22T00:00:00Z"/>
        <d v="2013-03-09T00:00:00Z"/>
        <d v="2013-03-28T00:00:00Z"/>
        <d v="2013-05-09T00:00:00Z"/>
        <d v="2013-06-26T00:00:00Z"/>
        <d v="2013-09-09T00:00:00Z"/>
        <d v="2013-10-11T00:00:00Z"/>
        <d v="2013-11-21T00:00:00Z"/>
        <d v="2013-12-27T00:00:00Z"/>
        <d v="2014-01-09T00:00:00Z"/>
        <d v="2014-02-04T00:00:00Z"/>
        <d v="2014-02-27T00:00:00Z"/>
        <d v="2014-03-22T00:00:00Z"/>
        <d v="2014-04-17T00:00:00Z"/>
        <d v="2014-05-21T00:00:00Z"/>
        <d v="2014-07-01T00:00:00Z"/>
        <d v="2014-08-26T00:00:00Z"/>
        <d v="2014-09-18T00:00:00Z"/>
        <d v="2014-10-28T00:00:00Z"/>
        <d v="2014-11-24T00:00:00Z"/>
        <d v="2014-12-22T00:00:00Z"/>
        <d v="2015-01-02T00:00:00Z"/>
        <d v="2015-01-20T00:00:00Z"/>
        <d v="2015-02-19T00:00:00Z"/>
        <d v="2015-03-21T00:00:00Z"/>
        <d v="2015-04-02T00:00:00Z"/>
        <d v="2015-05-19T00:00:00Z"/>
        <d v="2015-06-16T00:00:00Z"/>
        <d v="2015-07-21T00:00:00Z"/>
        <d v="2015-09-16T00:00:00Z"/>
        <d v="2015-10-13T00:00:00Z"/>
        <d v="2015-11-04T00:00:00Z"/>
        <d v="2015-12-09T00:00:00Z"/>
        <d v="2015-12-30T00:00:00Z"/>
        <d v="2016-01-21T00:00:00Z"/>
        <d v="2016-02-11T00:00:00Z"/>
        <d v="2016-03-24T00:00:00Z"/>
        <d v="2016-04-28T00:00:00Z"/>
        <d v="2016-05-31T00:00:00Z"/>
        <d v="2016-06-17T00:00:00Z"/>
        <d v="2016-07-26T00:00:00Z"/>
        <d v="2016-09-20T00:00:00Z"/>
        <d v="2016-10-20T00:00:00Z"/>
        <d v="2016-11-29T00:00:00Z"/>
        <d v="2016-12-31T00:00:00Z"/>
        <d v="2017-01-23T00:00:00Z"/>
        <d v="2017-02-16T00:00:00Z"/>
        <d v="2017-03-23T00:00:00Z"/>
        <d v="2017-04-13T00:00:00Z"/>
        <d v="2017-05-31T00:00:00Z"/>
        <d v="2017-06-23T00:00:00Z"/>
        <d v="2017-07-26T00:00:00Z"/>
        <d v="2017-08-30T00:00:00Z"/>
        <d v="2017-09-22T00:00:00Z"/>
        <d v="2017-10-25T00:00:00Z"/>
        <d v="2017-11-29T00:00:00Z"/>
        <d v="2017-12-29T00:00:00Z"/>
        <d v="2018-01-16T00:00:00Z"/>
        <d v="2018-02-19T00:00:00Z"/>
        <d v="2018-03-15T00:00:00Z"/>
        <d v="2018-03-29T00:00:00Z"/>
        <d v="2018-04-26T00:00:00Z"/>
        <d v="2018-05-30T00:00:00Z"/>
        <d v="2018-06-15T00:00:00Z"/>
        <d v="2018-08-01T00:00:00Z"/>
        <d v="2018-08-29T00:00:00Z"/>
        <d v="2018-10-03T00:00:00Z"/>
        <n v="-321846.0"/>
        <d v="2018-11-19T00:00:00Z"/>
        <d v="2019-01-10T00:00:00Z"/>
        <d v="2019-01-21T00:00:00Z"/>
        <d v="2019-02-12T00:00:00Z"/>
        <d v="2019-03-28T00:00:00Z"/>
        <d v="2019-04-18T00:00:00Z"/>
        <d v="2019-05-28T00:00:00Z"/>
        <d v="2019-06-14T00:00:00Z"/>
        <d v="2019-07-23T00:00:00Z"/>
        <d v="2019-08-27T00:00:00Z"/>
        <d v="2019-09-18T00:00:00Z"/>
        <d v="2019-10-30T00:00:00Z"/>
        <d v="2019-11-21T00:00:00Z"/>
        <d v="2019-12-09T00:00:00Z"/>
        <d v="2020-01-27T00:00:00Z"/>
        <d v="2020-02-25T00:00:00Z"/>
        <d v="2020-03-25T00:00:00Z"/>
        <d v="2020-04-09T00:00:00Z"/>
        <d v="2020-05-05T00:00:00Z"/>
        <d v="2020-06-03T00:00:00Z"/>
        <d v="2020-07-14T00:00:00Z"/>
        <d v="2020-09-10T00:00:00Z"/>
        <d v="2020-12-08T00:00:00Z"/>
        <d v="2021-01-21T00:00:00Z"/>
        <d v="2021-02-25T00:00:00Z"/>
        <d v="2021-03-16T00:00:00Z"/>
        <d v="2021-04-22T00:00:00Z"/>
        <d v="2021-05-24T00:00:00Z"/>
        <d v="2021-06-29T00:00:00Z"/>
        <d v="2021-08-03T00:00:00Z"/>
        <d v="2021-10-28T00:00:00Z"/>
        <d v="2021-11-12T00:00:00Z"/>
        <d v="2022-02-17T00:00:00Z"/>
        <d v="2022-03-29T00:00:00Z"/>
        <d v="2022-04-27T00:00:00Z"/>
        <d v="2022-06-03T00:00:00Z"/>
        <d v="2022-06-29T00:00:00Z"/>
        <d v="2022-07-20T00:00:00Z"/>
        <d v="2022-08-30T00:00:00Z"/>
        <d v="2022-09-22T00:00:00Z"/>
        <d v="2022-10-11T00:00:00Z"/>
        <d v="2022-11-10T00:00:00Z"/>
        <d v="2022-12-07T00:00:00Z"/>
        <d v="2023-01-29T00:00:00Z"/>
        <d v="2023-02-28T00:00:00Z"/>
        <d v="2023-03-23T00:00:00Z"/>
        <d v="2023-04-06T00:00:00Z"/>
        <d v="2023-04-20T00:00:00Z"/>
        <d v="2023-06-13T00:00:00Z"/>
        <d v="2023-07-25T00:00:00Z"/>
        <d v="2023-08-28T00:00:00Z"/>
        <d v="2023-09-26T00:00:00Z"/>
        <d v="2023-10-24T00:00:00Z"/>
        <d v="2023-11-30T00:00:00Z"/>
        <d v="2023-12-18T00:00:00Z"/>
        <d v="2024-01-18T00:00:00Z"/>
        <d v="2024-02-29T00:00:00Z"/>
        <d v="2024-03-28T00:00:00Z"/>
        <d v="2024-04-23T00:00:00Z"/>
        <d v="2024-05-21T00:00:00Z"/>
        <d v="2024-06-11T00:00:00Z"/>
        <d v="2024-07-29T00:00:00Z"/>
        <d v="2024-08-26T00:00:00Z"/>
        <d v="2024-09-26T00:00:00Z"/>
        <d v="2024-10-24T00:00:00Z"/>
        <d v="2024-11-04T00:00:00Z"/>
        <d v="2024-12-03T00:00:00Z"/>
        <d v="2025-01-16T00:00:00Z"/>
        <d v="2025-02-24T00:00:00Z"/>
        <d v="2025-03-20T00:00:00Z"/>
        <d v="2025-04-17T00:00:00Z"/>
        <d v="2025-05-20T00:00:00Z"/>
        <d v="2025-06-10T00:00:00Z"/>
        <d v="2025-07-09T00:00:00Z"/>
        <d v="2025-08-26T00:00:00Z"/>
        <d v="2025-09-10T00:00:00Z"/>
        <d v="2025-10-20T00:00:00Z"/>
        <d v="2025-11-20T00:00:00Z"/>
        <d v="2025-12-02T00:00:00Z"/>
        <d v="2026-01-15T00:00:00Z"/>
        <d v="2026-02-19T00:00:00Z"/>
        <d v="2026-03-04T00:00:00Z"/>
        <d v="2026-04-02T00:00:00Z"/>
        <s v="May"/>
        <s v="June"/>
      </sharedItems>
    </cacheField>
    <cacheField name="Season">
      <sharedItems containsMixedTypes="1" containsNumber="1" containsInteger="1">
        <s v="2007-2009"/>
        <s v="2009-2010"/>
        <s v="2010-2011"/>
        <s v="2011-2012"/>
        <s v="2012-2013"/>
        <s v="2013-2014"/>
        <s v="2014-2015"/>
        <s v="2015-2016"/>
        <s v="2016-2017"/>
        <s v="2017-2018"/>
        <s v="2018-2019"/>
        <s v="2019-2020"/>
        <s v="2020-2021"/>
        <n v="2022.0"/>
        <n v="2023.0"/>
        <n v="2024.0"/>
        <n v="2025.0"/>
        <n v="2026.0"/>
      </sharedItems>
    </cacheField>
    <cacheField name=" " numFmtId="0">
      <sharedItems containsBlank="1">
        <s v="No"/>
        <s v="Yes"/>
        <m/>
      </sharedItems>
    </cacheField>
    <cacheField name="Host" numFmtId="0">
      <sharedItems containsBlank="1">
        <s v="Coach"/>
        <s v="Siri"/>
        <s v="Moe"/>
        <s v="Andre"/>
        <s v="Princess Peach"/>
        <s v="AC Baby"/>
        <s v="Waxcuses"/>
        <s v="ESSOP"/>
        <s v="DP Preview"/>
        <s v="Vegas Baby"/>
        <s v="DP Open"/>
        <s v="Screech"/>
        <s v="Junior"/>
        <s v="Mrs. Clay Matthews"/>
        <s v="The Bieb"/>
        <s v="DNO"/>
        <s v="Harrah's"/>
        <s v="None (Virtual)"/>
        <s v="Masta Pu$$y"/>
        <s v="Flo Rida"/>
        <s v="No Limit"/>
        <m/>
      </sharedItems>
    </cacheField>
    <cacheField name="Winner" numFmtId="0">
      <sharedItems containsBlank="1">
        <s v="Coach"/>
        <s v="Waxcuses"/>
        <s v="Moe"/>
        <s v="Siri"/>
        <s v="Princess Peach"/>
        <s v="Norman"/>
        <s v="Masta Pu$$y"/>
        <s v="Screech"/>
        <s v="The Bieb"/>
        <s v="Mrs. Clay Matthews"/>
        <s v="Junior"/>
        <s v="Andr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racelets Pivot" cacheId="0" dataCaption="" compact="0" compactData="0">
  <location ref="A1:B15" firstHeaderRow="0" firstDataRow="1" firstDataCol="0"/>
  <pivotFields>
    <pivotField name="Event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H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inne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5"/>
  </rowFields>
  <dataFields>
    <dataField name="COUNTA of Winner" fld="5" subtotal="count" baseField="0"/>
  </dataFields>
</pivotTableDefinition>
</file>

<file path=xl/pivotTables/pivotTable2.xml><?xml version="1.0" encoding="utf-8"?>
<pivotTableDefinition xmlns="http://schemas.openxmlformats.org/spreadsheetml/2006/main" name="Majors Pivot" cacheId="0" dataCaption="" compact="0" compactData="0">
  <location ref="A3:B14" firstHeaderRow="0" firstDataRow="1" firstDataCol="0" rowPageCount="1" colPageCount="1"/>
  <pivotFields>
    <pivotField name="Event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axis="axisPage" compact="0" outline="0" multipleItemSelectionAllowed="1" showAll="0">
      <items>
        <item h="1" x="0"/>
        <item x="1"/>
        <item x="2"/>
        <item t="default"/>
      </items>
    </pivotField>
    <pivotField name="H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inne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5"/>
  </rowFields>
  <pageFields>
    <pageField fld="3"/>
  </pageFields>
  <dataFields>
    <dataField name="COUNTA of Winner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6-05-06T18:32:15.00" personId="{403cf6be-a455-4574-8b61-501dba273f8c}" id="{e5783dba-5e32-49b0-b638-d6b6d4296169}" done="0">
    <x18tc:text xml:space="preserve">Attendance data for Events 1 through 12 is inconclusive in spots (see "Notes from Jeff" tab).</x18tc:text>
  </x18tc:threadedComment>
  <x18tc:threadedComment ref="L126" dT="2024-06-12T03:57:11.00" personId="{403cf6be-a455-4574-8b61-501dba273f8c}" id="{bfa10791-efac-4e3a-a61d-2e36c7c0defa}" done="0">
    <x18tc:text xml:space="preserve">Start of the 50 streak</x18tc:text>
  </x18tc:threadedComment>
  <x18tc:threadedComment ref="E47" dT="2024-12-08T01:49:37.00" personId="{403cf6be-a455-4574-8b61-501dba273f8c}" id="{293723a1-adf3-4eac-b311-cc6d3751f0a2}" done="0">
    <x18tc:text xml:space="preserve">Attendance unclear other than Coach and Siri</x18tc:text>
  </x18tc:threadedComment>
  <x18tc:threadedComment ref="O85" dT="2022-06-15T16:54:16.00" personId="{403cf6be-a455-4574-8b61-501dba273f8c}" id="{e8e4a5f1-468c-4266-bbe9-37f9ca2588ff}" done="0">
    <x18tc:text xml:space="preserve">Chad in San Diego</x18tc:text>
  </x18tc:threadedComment>
  <x18tc:threadedComment ref="O172" dT="2024-06-12T04:01:21.00" personId="{403cf6be-a455-4574-8b61-501dba273f8c}" id="{c22f2d88-31ee-4edf-8a52-a32a76251687}" done="0">
    <x18tc:text xml:space="preserve">Pneumonia</x18tc:text>
  </x18tc:threadedComment>
  <x18tc:threadedComment ref="L175" dT="2024-04-23T11:50:19.00" personId="{403cf6be-a455-4574-8b61-501dba273f8c}" id="{ae9a2315-df63-4cbe-9fb5-a05f3be1b647}" done="0">
    <x18tc:text xml:space="preserve">#50 in a row</x18tc:text>
  </x18tc:threadedComment>
  <x18tc:threadedComment ref="O93" dT="2022-06-15T16:55:10.00" personId="{403cf6be-a455-4574-8b61-501dba273f8c}" id="{897f8df7-629e-4c4a-8652-ebc56ea8402b}" done="0">
    <x18tc:text xml:space="preserve">Chad back for Christmas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8" max="8" width="12.63"/>
  </cols>
  <sheetData>
    <row r="1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3" t="s">
        <v>11</v>
      </c>
      <c r="B2" s="4">
        <f>COUNTIF('Raw Data'!H142:H153,"Yes")</f>
        <v>6</v>
      </c>
      <c r="C2" s="4">
        <f>COUNTIF('Raw Data'!I142:I153,"Yes")</f>
        <v>10</v>
      </c>
      <c r="D2" s="4">
        <f>COUNTIF('Raw Data'!J142:J153,"Yes")</f>
        <v>11</v>
      </c>
      <c r="E2" s="4">
        <f>COUNTIF('Raw Data'!K142:K153,"Yes")</f>
        <v>6</v>
      </c>
      <c r="F2" s="4">
        <f>COUNTIF('Raw Data'!L142:L153,"Yes")</f>
        <v>12</v>
      </c>
      <c r="G2" s="4">
        <f>COUNTIF('Raw Data'!M142:M153,"Yes")</f>
        <v>11</v>
      </c>
      <c r="H2" s="4">
        <f>COUNTIF('Raw Data'!N142:N153,"Yes")</f>
        <v>0</v>
      </c>
      <c r="I2" s="4">
        <f>COUNTIF('Raw Data'!O142:O153,"Yes")</f>
        <v>12</v>
      </c>
      <c r="J2" s="4">
        <f>COUNTIF('Raw Data'!P142:P153,"Yes")</f>
        <v>10</v>
      </c>
      <c r="K2" s="4">
        <f>COUNTIF('Raw Data'!Q142:Q153,"Yes")</f>
        <v>7</v>
      </c>
      <c r="L2" s="4">
        <f>COUNTIF('Raw Data'!R142:R153,"Yes")</f>
        <v>7</v>
      </c>
    </row>
    <row r="3">
      <c r="A3" s="3" t="s">
        <v>12</v>
      </c>
      <c r="B3" s="4">
        <f>(COUNTIF('Raw Data'!$F142:$F153,B1))*2</f>
        <v>0</v>
      </c>
      <c r="C3" s="4">
        <f>(COUNTIF('Raw Data'!$F142:$F153,C1))*2</f>
        <v>4</v>
      </c>
      <c r="D3" s="4">
        <f>(COUNTIF('Raw Data'!$F142:$F153,D1))*2</f>
        <v>4</v>
      </c>
      <c r="E3" s="4">
        <f>(COUNTIF('Raw Data'!$F142:$F153,E1))*2</f>
        <v>2</v>
      </c>
      <c r="F3" s="4">
        <f>(COUNTIF('Raw Data'!$F142:$F153,F1))*2</f>
        <v>2</v>
      </c>
      <c r="G3" s="4">
        <f>(COUNTIF('Raw Data'!$F142:$F153,G1))*2</f>
        <v>0</v>
      </c>
      <c r="H3" s="4">
        <f>(COUNTIF('Raw Data'!$F142:$F153,H1))*2</f>
        <v>0</v>
      </c>
      <c r="I3" s="4">
        <f>(COUNTIF('Raw Data'!$F142:$F153,I1))*2</f>
        <v>10</v>
      </c>
      <c r="J3" s="4">
        <f>(COUNTIF('Raw Data'!$F142:$F153,J1))*2</f>
        <v>2</v>
      </c>
      <c r="K3" s="4">
        <f>(COUNTIF('Raw Data'!$F142:$F153,K1))*2</f>
        <v>0</v>
      </c>
      <c r="L3" s="4">
        <f>(COUNTIF('Raw Data'!$F142:$F153,L1))*2</f>
        <v>0</v>
      </c>
    </row>
    <row r="4">
      <c r="A4" s="3" t="s">
        <v>13</v>
      </c>
      <c r="B4" s="4">
        <f>(COUNTIFS('Raw Data'!$D142:$D153,"Yes",'Raw Data'!$F142:$F153,B1))*4</f>
        <v>0</v>
      </c>
      <c r="C4" s="4">
        <f>COUNTIFS('Raw Data'!$D142:$D153,"Yes",'Raw Data'!$F142:$F153,C1)</f>
        <v>0</v>
      </c>
      <c r="D4" s="4">
        <f>COUNTIFS('Raw Data'!$D142:$D153,"Yes",'Raw Data'!$F142:$F153,D1)</f>
        <v>0</v>
      </c>
      <c r="E4" s="4">
        <f>COUNTIFS('Raw Data'!$D142:$D153,"Yes",'Raw Data'!$F142:$F153,E1)</f>
        <v>0</v>
      </c>
      <c r="F4" s="4">
        <f>COUNTIFS('Raw Data'!$D142:$D153,"Yes",'Raw Data'!$F142:$F153,F1)</f>
        <v>0</v>
      </c>
      <c r="G4" s="4">
        <f>COUNTIFS('Raw Data'!$D142:$D153,"Yes",'Raw Data'!$F142:$F153,G1)</f>
        <v>0</v>
      </c>
      <c r="H4" s="4">
        <f>COUNTIFS('Raw Data'!$D142:$D153,"Yes",'Raw Data'!$F142:$F153,H1)</f>
        <v>0</v>
      </c>
      <c r="I4" s="4">
        <f>COUNTIFS('Raw Data'!$D142:$D153,"Yes",'Raw Data'!$F142:$F153,I1)</f>
        <v>0</v>
      </c>
      <c r="J4" s="4">
        <f>COUNTIFS('Raw Data'!$D142:$D153,"Yes",'Raw Data'!$F142:$F153,J1)</f>
        <v>0</v>
      </c>
      <c r="K4" s="4">
        <f>COUNTIFS('Raw Data'!$D142:$D153,"Yes",'Raw Data'!$F142:$F153,K1)</f>
        <v>0</v>
      </c>
      <c r="L4" s="4">
        <f>COUNTIFS('Raw Data'!$D142:$D153,"Yes",'Raw Data'!$F142:$F153,L1)</f>
        <v>0</v>
      </c>
    </row>
    <row r="5">
      <c r="A5" s="3" t="s">
        <v>14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</row>
    <row r="6">
      <c r="A6" s="3" t="s">
        <v>15</v>
      </c>
      <c r="B6" s="4">
        <f t="shared" ref="B6:L6" si="1">sum(B2:B5)</f>
        <v>6</v>
      </c>
      <c r="C6" s="4">
        <f t="shared" si="1"/>
        <v>14</v>
      </c>
      <c r="D6" s="4">
        <f t="shared" si="1"/>
        <v>15</v>
      </c>
      <c r="E6" s="4">
        <f t="shared" si="1"/>
        <v>8</v>
      </c>
      <c r="F6" s="4">
        <f t="shared" si="1"/>
        <v>14</v>
      </c>
      <c r="G6" s="4">
        <f t="shared" si="1"/>
        <v>11</v>
      </c>
      <c r="H6" s="4">
        <f t="shared" si="1"/>
        <v>0</v>
      </c>
      <c r="I6" s="4">
        <f t="shared" si="1"/>
        <v>22</v>
      </c>
      <c r="J6" s="4">
        <f t="shared" si="1"/>
        <v>12</v>
      </c>
      <c r="K6" s="4">
        <f t="shared" si="1"/>
        <v>7</v>
      </c>
      <c r="L6" s="4">
        <f t="shared" si="1"/>
        <v>7</v>
      </c>
    </row>
    <row r="8">
      <c r="A8" s="6" t="s">
        <v>16</v>
      </c>
      <c r="B8" s="6" t="s">
        <v>17</v>
      </c>
      <c r="C8" s="6" t="s">
        <v>18</v>
      </c>
    </row>
    <row r="9">
      <c r="A9" s="2">
        <v>1.0</v>
      </c>
      <c r="B9" s="1" t="s">
        <v>7</v>
      </c>
      <c r="C9" s="4">
        <f>$I$6</f>
        <v>22</v>
      </c>
    </row>
    <row r="10">
      <c r="A10" s="2">
        <v>2.0</v>
      </c>
      <c r="B10" s="2" t="s">
        <v>2</v>
      </c>
      <c r="C10" s="4">
        <f>$D$6</f>
        <v>15</v>
      </c>
    </row>
    <row r="11">
      <c r="A11" s="2">
        <v>3.0</v>
      </c>
      <c r="B11" s="1" t="s">
        <v>1</v>
      </c>
      <c r="C11" s="4">
        <f>$C$6</f>
        <v>14</v>
      </c>
    </row>
    <row r="12">
      <c r="A12" s="2">
        <v>4.0</v>
      </c>
      <c r="B12" s="1" t="s">
        <v>4</v>
      </c>
      <c r="C12" s="4">
        <f>$F$6</f>
        <v>14</v>
      </c>
    </row>
    <row r="13">
      <c r="A13" s="2">
        <v>5.0</v>
      </c>
      <c r="B13" s="1" t="s">
        <v>8</v>
      </c>
      <c r="C13" s="4">
        <f>$J$6</f>
        <v>12</v>
      </c>
    </row>
    <row r="14">
      <c r="A14" s="2">
        <v>6.0</v>
      </c>
      <c r="B14" s="1" t="s">
        <v>5</v>
      </c>
      <c r="C14" s="4">
        <f>$G$6</f>
        <v>11</v>
      </c>
    </row>
    <row r="15">
      <c r="A15" s="2">
        <v>7.0</v>
      </c>
      <c r="B15" s="1" t="s">
        <v>3</v>
      </c>
      <c r="C15" s="4">
        <f>$E$6</f>
        <v>8</v>
      </c>
    </row>
    <row r="16">
      <c r="A16" s="2">
        <v>8.0</v>
      </c>
      <c r="B16" s="1" t="s">
        <v>9</v>
      </c>
      <c r="C16" s="4">
        <f>$K$6</f>
        <v>7</v>
      </c>
    </row>
    <row r="17">
      <c r="A17" s="2">
        <v>9.0</v>
      </c>
      <c r="B17" s="1" t="s">
        <v>10</v>
      </c>
      <c r="C17" s="4">
        <f>$L$6</f>
        <v>7</v>
      </c>
    </row>
    <row r="18">
      <c r="A18" s="2">
        <v>10.0</v>
      </c>
      <c r="B18" s="1" t="s">
        <v>0</v>
      </c>
      <c r="C18" s="4">
        <f>$B$6</f>
        <v>6</v>
      </c>
    </row>
    <row r="19" hidden="1">
      <c r="A19" s="2" t="s">
        <v>6</v>
      </c>
      <c r="B19" s="4">
        <f>$H$6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9.38"/>
    <col customWidth="1" min="4" max="4" width="9.0"/>
    <col customWidth="1" min="5" max="6" width="20.5"/>
    <col customWidth="1" min="7" max="20" width="10.13"/>
  </cols>
  <sheetData>
    <row r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11</v>
      </c>
      <c r="H1" s="1" t="s">
        <v>0</v>
      </c>
      <c r="I1" s="1" t="s">
        <v>1</v>
      </c>
      <c r="J1" s="2" t="s">
        <v>2</v>
      </c>
      <c r="K1" s="1" t="s">
        <v>3</v>
      </c>
      <c r="L1" s="1" t="s">
        <v>4</v>
      </c>
      <c r="M1" s="1" t="s">
        <v>5</v>
      </c>
      <c r="N1" s="2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3" t="s">
        <v>25</v>
      </c>
      <c r="T1" s="2" t="s">
        <v>26</v>
      </c>
      <c r="V1" s="1" t="s">
        <v>0</v>
      </c>
      <c r="W1" s="1" t="s">
        <v>1</v>
      </c>
      <c r="X1" s="2" t="s">
        <v>2</v>
      </c>
      <c r="Y1" s="1" t="s">
        <v>3</v>
      </c>
      <c r="Z1" s="1" t="s">
        <v>4</v>
      </c>
      <c r="AA1" s="1" t="s">
        <v>5</v>
      </c>
      <c r="AB1" s="2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2" t="s">
        <v>25</v>
      </c>
      <c r="AH1" s="2" t="s">
        <v>26</v>
      </c>
    </row>
    <row r="2">
      <c r="A2" s="7">
        <v>1.0</v>
      </c>
      <c r="B2" s="8">
        <v>39394.0</v>
      </c>
      <c r="C2" s="7" t="s">
        <v>27</v>
      </c>
      <c r="D2" s="7" t="s">
        <v>28</v>
      </c>
      <c r="E2" s="7" t="s">
        <v>1</v>
      </c>
      <c r="F2" s="7" t="s">
        <v>1</v>
      </c>
      <c r="G2" s="9">
        <f t="shared" ref="G2:G172" si="2">countif(H2:R2,"Yes")</f>
        <v>6</v>
      </c>
      <c r="H2" s="10" t="s">
        <v>29</v>
      </c>
      <c r="I2" s="10" t="s">
        <v>29</v>
      </c>
      <c r="J2" s="11"/>
      <c r="K2" s="10" t="s">
        <v>29</v>
      </c>
      <c r="L2" s="10" t="s">
        <v>29</v>
      </c>
      <c r="M2" s="11"/>
      <c r="N2" s="10" t="s">
        <v>28</v>
      </c>
      <c r="O2" s="11"/>
      <c r="P2" s="10" t="s">
        <v>29</v>
      </c>
      <c r="Q2" s="11"/>
      <c r="R2" s="10" t="s">
        <v>29</v>
      </c>
      <c r="S2" s="12"/>
      <c r="T2" s="13"/>
      <c r="V2" s="4">
        <f t="shared" ref="V2:AH2" si="1">COUNTIF($F$2:$F2,V$1)</f>
        <v>0</v>
      </c>
      <c r="W2" s="4">
        <f t="shared" si="1"/>
        <v>1</v>
      </c>
      <c r="X2" s="4">
        <f t="shared" si="1"/>
        <v>0</v>
      </c>
      <c r="Y2" s="4">
        <f t="shared" si="1"/>
        <v>0</v>
      </c>
      <c r="Z2" s="4">
        <f t="shared" si="1"/>
        <v>0</v>
      </c>
      <c r="AA2" s="4">
        <f t="shared" si="1"/>
        <v>0</v>
      </c>
      <c r="AB2" s="4">
        <f t="shared" si="1"/>
        <v>0</v>
      </c>
      <c r="AC2" s="4">
        <f t="shared" si="1"/>
        <v>0</v>
      </c>
      <c r="AD2" s="4">
        <f t="shared" si="1"/>
        <v>0</v>
      </c>
      <c r="AE2" s="4">
        <f t="shared" si="1"/>
        <v>0</v>
      </c>
      <c r="AF2" s="4">
        <f t="shared" si="1"/>
        <v>0</v>
      </c>
      <c r="AG2" s="4">
        <f t="shared" si="1"/>
        <v>0</v>
      </c>
      <c r="AH2" s="4">
        <f t="shared" si="1"/>
        <v>0</v>
      </c>
    </row>
    <row r="3">
      <c r="A3" s="7">
        <v>2.0</v>
      </c>
      <c r="B3" s="8">
        <v>39626.0</v>
      </c>
      <c r="C3" s="7" t="s">
        <v>27</v>
      </c>
      <c r="D3" s="7" t="s">
        <v>28</v>
      </c>
      <c r="E3" s="7" t="s">
        <v>1</v>
      </c>
      <c r="F3" s="7" t="s">
        <v>10</v>
      </c>
      <c r="G3" s="9">
        <f t="shared" si="2"/>
        <v>7</v>
      </c>
      <c r="H3" s="10" t="s">
        <v>29</v>
      </c>
      <c r="I3" s="10" t="s">
        <v>29</v>
      </c>
      <c r="J3" s="11"/>
      <c r="K3" s="10" t="s">
        <v>29</v>
      </c>
      <c r="L3" s="10" t="s">
        <v>29</v>
      </c>
      <c r="M3" s="11"/>
      <c r="N3" s="10" t="s">
        <v>29</v>
      </c>
      <c r="O3" s="11"/>
      <c r="P3" s="10" t="s">
        <v>29</v>
      </c>
      <c r="Q3" s="11"/>
      <c r="R3" s="10" t="s">
        <v>29</v>
      </c>
      <c r="S3" s="12"/>
      <c r="T3" s="13"/>
      <c r="V3" s="4">
        <f t="shared" ref="V3:AH3" si="3">COUNTIF($F$2:$F3,V$1)</f>
        <v>0</v>
      </c>
      <c r="W3" s="4">
        <f t="shared" si="3"/>
        <v>1</v>
      </c>
      <c r="X3" s="4">
        <f t="shared" si="3"/>
        <v>0</v>
      </c>
      <c r="Y3" s="4">
        <f t="shared" si="3"/>
        <v>0</v>
      </c>
      <c r="Z3" s="4">
        <f t="shared" si="3"/>
        <v>0</v>
      </c>
      <c r="AA3" s="4">
        <f t="shared" si="3"/>
        <v>0</v>
      </c>
      <c r="AB3" s="4">
        <f t="shared" si="3"/>
        <v>0</v>
      </c>
      <c r="AC3" s="4">
        <f t="shared" si="3"/>
        <v>0</v>
      </c>
      <c r="AD3" s="4">
        <f t="shared" si="3"/>
        <v>0</v>
      </c>
      <c r="AE3" s="4">
        <f t="shared" si="3"/>
        <v>0</v>
      </c>
      <c r="AF3" s="4">
        <f t="shared" si="3"/>
        <v>1</v>
      </c>
      <c r="AG3" s="4">
        <f t="shared" si="3"/>
        <v>0</v>
      </c>
      <c r="AH3" s="4">
        <f t="shared" si="3"/>
        <v>0</v>
      </c>
    </row>
    <row r="4">
      <c r="A4" s="7">
        <v>3.0</v>
      </c>
      <c r="B4" s="8">
        <v>39786.0</v>
      </c>
      <c r="C4" s="7" t="s">
        <v>27</v>
      </c>
      <c r="D4" s="7" t="s">
        <v>28</v>
      </c>
      <c r="E4" s="7" t="s">
        <v>8</v>
      </c>
      <c r="F4" s="7" t="s">
        <v>4</v>
      </c>
      <c r="G4" s="9">
        <f t="shared" si="2"/>
        <v>7</v>
      </c>
      <c r="H4" s="10" t="s">
        <v>29</v>
      </c>
      <c r="I4" s="10" t="s">
        <v>29</v>
      </c>
      <c r="J4" s="11"/>
      <c r="K4" s="10" t="s">
        <v>29</v>
      </c>
      <c r="L4" s="10" t="s">
        <v>29</v>
      </c>
      <c r="M4" s="11"/>
      <c r="N4" s="10" t="s">
        <v>29</v>
      </c>
      <c r="O4" s="11"/>
      <c r="P4" s="10" t="s">
        <v>29</v>
      </c>
      <c r="Q4" s="11"/>
      <c r="R4" s="10" t="s">
        <v>29</v>
      </c>
      <c r="S4" s="12"/>
      <c r="T4" s="13"/>
      <c r="V4" s="4">
        <f t="shared" ref="V4:AH4" si="4">COUNTIF($F$2:$F4,V$1)</f>
        <v>0</v>
      </c>
      <c r="W4" s="4">
        <f t="shared" si="4"/>
        <v>1</v>
      </c>
      <c r="X4" s="4">
        <f t="shared" si="4"/>
        <v>0</v>
      </c>
      <c r="Y4" s="4">
        <f t="shared" si="4"/>
        <v>0</v>
      </c>
      <c r="Z4" s="4">
        <f t="shared" si="4"/>
        <v>1</v>
      </c>
      <c r="AA4" s="4">
        <f t="shared" si="4"/>
        <v>0</v>
      </c>
      <c r="AB4" s="4">
        <f t="shared" si="4"/>
        <v>0</v>
      </c>
      <c r="AC4" s="4">
        <f t="shared" si="4"/>
        <v>0</v>
      </c>
      <c r="AD4" s="4">
        <f t="shared" si="4"/>
        <v>0</v>
      </c>
      <c r="AE4" s="4">
        <f t="shared" si="4"/>
        <v>0</v>
      </c>
      <c r="AF4" s="4">
        <f t="shared" si="4"/>
        <v>1</v>
      </c>
      <c r="AG4" s="4">
        <f t="shared" si="4"/>
        <v>0</v>
      </c>
      <c r="AH4" s="4">
        <f t="shared" si="4"/>
        <v>0</v>
      </c>
    </row>
    <row r="5">
      <c r="A5" s="7">
        <v>4.0</v>
      </c>
      <c r="B5" s="8">
        <v>39815.0</v>
      </c>
      <c r="C5" s="7" t="s">
        <v>27</v>
      </c>
      <c r="D5" s="7" t="s">
        <v>28</v>
      </c>
      <c r="E5" s="7" t="s">
        <v>4</v>
      </c>
      <c r="F5" s="7" t="s">
        <v>1</v>
      </c>
      <c r="G5" s="9">
        <f t="shared" si="2"/>
        <v>7</v>
      </c>
      <c r="H5" s="10" t="s">
        <v>29</v>
      </c>
      <c r="I5" s="10" t="s">
        <v>29</v>
      </c>
      <c r="J5" s="11"/>
      <c r="K5" s="10" t="s">
        <v>29</v>
      </c>
      <c r="L5" s="10" t="s">
        <v>29</v>
      </c>
      <c r="M5" s="11"/>
      <c r="N5" s="10" t="s">
        <v>29</v>
      </c>
      <c r="O5" s="11"/>
      <c r="P5" s="10" t="s">
        <v>29</v>
      </c>
      <c r="Q5" s="11"/>
      <c r="R5" s="10" t="s">
        <v>29</v>
      </c>
      <c r="S5" s="12"/>
      <c r="T5" s="13"/>
      <c r="V5" s="4">
        <f t="shared" ref="V5:AH5" si="5">COUNTIF($F$2:$F5,V$1)</f>
        <v>0</v>
      </c>
      <c r="W5" s="4">
        <f t="shared" si="5"/>
        <v>2</v>
      </c>
      <c r="X5" s="4">
        <f t="shared" si="5"/>
        <v>0</v>
      </c>
      <c r="Y5" s="4">
        <f t="shared" si="5"/>
        <v>0</v>
      </c>
      <c r="Z5" s="4">
        <f t="shared" si="5"/>
        <v>1</v>
      </c>
      <c r="AA5" s="4">
        <f t="shared" si="5"/>
        <v>0</v>
      </c>
      <c r="AB5" s="4">
        <f t="shared" si="5"/>
        <v>0</v>
      </c>
      <c r="AC5" s="4">
        <f t="shared" si="5"/>
        <v>0</v>
      </c>
      <c r="AD5" s="4">
        <f t="shared" si="5"/>
        <v>0</v>
      </c>
      <c r="AE5" s="4">
        <f t="shared" si="5"/>
        <v>0</v>
      </c>
      <c r="AF5" s="4">
        <f t="shared" si="5"/>
        <v>1</v>
      </c>
      <c r="AG5" s="4">
        <f t="shared" si="5"/>
        <v>0</v>
      </c>
      <c r="AH5" s="4">
        <f t="shared" si="5"/>
        <v>0</v>
      </c>
    </row>
    <row r="6">
      <c r="A6" s="7">
        <v>5.0</v>
      </c>
      <c r="B6" s="8">
        <v>39856.0</v>
      </c>
      <c r="C6" s="7" t="s">
        <v>27</v>
      </c>
      <c r="D6" s="7" t="s">
        <v>28</v>
      </c>
      <c r="E6" s="7" t="s">
        <v>0</v>
      </c>
      <c r="F6" s="7" t="s">
        <v>8</v>
      </c>
      <c r="G6" s="9">
        <f t="shared" si="2"/>
        <v>7</v>
      </c>
      <c r="H6" s="10" t="s">
        <v>29</v>
      </c>
      <c r="I6" s="10" t="s">
        <v>29</v>
      </c>
      <c r="J6" s="11"/>
      <c r="K6" s="10" t="s">
        <v>29</v>
      </c>
      <c r="L6" s="10" t="s">
        <v>29</v>
      </c>
      <c r="M6" s="11"/>
      <c r="N6" s="10" t="s">
        <v>29</v>
      </c>
      <c r="O6" s="11"/>
      <c r="P6" s="10" t="s">
        <v>29</v>
      </c>
      <c r="Q6" s="11"/>
      <c r="R6" s="10" t="s">
        <v>29</v>
      </c>
      <c r="S6" s="12"/>
      <c r="T6" s="13"/>
      <c r="V6" s="4">
        <f t="shared" ref="V6:AH6" si="6">COUNTIF($F$2:$F6,V$1)</f>
        <v>0</v>
      </c>
      <c r="W6" s="4">
        <f t="shared" si="6"/>
        <v>2</v>
      </c>
      <c r="X6" s="4">
        <f t="shared" si="6"/>
        <v>0</v>
      </c>
      <c r="Y6" s="4">
        <f t="shared" si="6"/>
        <v>0</v>
      </c>
      <c r="Z6" s="4">
        <f t="shared" si="6"/>
        <v>1</v>
      </c>
      <c r="AA6" s="4">
        <f t="shared" si="6"/>
        <v>0</v>
      </c>
      <c r="AB6" s="4">
        <f t="shared" si="6"/>
        <v>0</v>
      </c>
      <c r="AC6" s="4">
        <f t="shared" si="6"/>
        <v>0</v>
      </c>
      <c r="AD6" s="4">
        <f t="shared" si="6"/>
        <v>1</v>
      </c>
      <c r="AE6" s="4">
        <f t="shared" si="6"/>
        <v>0</v>
      </c>
      <c r="AF6" s="4">
        <f t="shared" si="6"/>
        <v>1</v>
      </c>
      <c r="AG6" s="4">
        <f t="shared" si="6"/>
        <v>0</v>
      </c>
      <c r="AH6" s="4">
        <f t="shared" si="6"/>
        <v>0</v>
      </c>
    </row>
    <row r="7">
      <c r="A7" s="7">
        <v>6.0</v>
      </c>
      <c r="B7" s="8">
        <v>39884.0</v>
      </c>
      <c r="C7" s="7" t="s">
        <v>27</v>
      </c>
      <c r="D7" s="7" t="s">
        <v>28</v>
      </c>
      <c r="E7" s="7" t="s">
        <v>6</v>
      </c>
      <c r="F7" s="7" t="s">
        <v>8</v>
      </c>
      <c r="G7" s="9">
        <f t="shared" si="2"/>
        <v>7</v>
      </c>
      <c r="H7" s="10" t="s">
        <v>29</v>
      </c>
      <c r="I7" s="10" t="s">
        <v>29</v>
      </c>
      <c r="J7" s="11"/>
      <c r="K7" s="10" t="s">
        <v>29</v>
      </c>
      <c r="L7" s="10" t="s">
        <v>29</v>
      </c>
      <c r="M7" s="11"/>
      <c r="N7" s="10" t="s">
        <v>29</v>
      </c>
      <c r="O7" s="11"/>
      <c r="P7" s="10" t="s">
        <v>29</v>
      </c>
      <c r="Q7" s="11"/>
      <c r="R7" s="10" t="s">
        <v>29</v>
      </c>
      <c r="S7" s="12"/>
      <c r="T7" s="13"/>
      <c r="V7" s="4">
        <f t="shared" ref="V7:AH7" si="7">COUNTIF($F$2:$F7,V$1)</f>
        <v>0</v>
      </c>
      <c r="W7" s="4">
        <f t="shared" si="7"/>
        <v>2</v>
      </c>
      <c r="X7" s="4">
        <f t="shared" si="7"/>
        <v>0</v>
      </c>
      <c r="Y7" s="4">
        <f t="shared" si="7"/>
        <v>0</v>
      </c>
      <c r="Z7" s="4">
        <f t="shared" si="7"/>
        <v>1</v>
      </c>
      <c r="AA7" s="4">
        <f t="shared" si="7"/>
        <v>0</v>
      </c>
      <c r="AB7" s="4">
        <f t="shared" si="7"/>
        <v>0</v>
      </c>
      <c r="AC7" s="4">
        <f t="shared" si="7"/>
        <v>0</v>
      </c>
      <c r="AD7" s="4">
        <f t="shared" si="7"/>
        <v>2</v>
      </c>
      <c r="AE7" s="4">
        <f t="shared" si="7"/>
        <v>0</v>
      </c>
      <c r="AF7" s="4">
        <f t="shared" si="7"/>
        <v>1</v>
      </c>
      <c r="AG7" s="4">
        <f t="shared" si="7"/>
        <v>0</v>
      </c>
      <c r="AH7" s="4">
        <f t="shared" si="7"/>
        <v>0</v>
      </c>
    </row>
    <row r="8">
      <c r="A8" s="7">
        <v>7.0</v>
      </c>
      <c r="B8" s="8">
        <v>39915.0</v>
      </c>
      <c r="C8" s="7" t="s">
        <v>27</v>
      </c>
      <c r="D8" s="7" t="s">
        <v>29</v>
      </c>
      <c r="E8" s="7" t="s">
        <v>30</v>
      </c>
      <c r="F8" s="7" t="s">
        <v>8</v>
      </c>
      <c r="G8" s="9">
        <f t="shared" si="2"/>
        <v>6</v>
      </c>
      <c r="H8" s="10" t="s">
        <v>29</v>
      </c>
      <c r="I8" s="10" t="s">
        <v>28</v>
      </c>
      <c r="J8" s="11"/>
      <c r="K8" s="10" t="s">
        <v>29</v>
      </c>
      <c r="L8" s="10" t="s">
        <v>29</v>
      </c>
      <c r="M8" s="11"/>
      <c r="N8" s="10" t="s">
        <v>29</v>
      </c>
      <c r="O8" s="11"/>
      <c r="P8" s="10" t="s">
        <v>29</v>
      </c>
      <c r="Q8" s="11"/>
      <c r="R8" s="10" t="s">
        <v>29</v>
      </c>
      <c r="S8" s="12"/>
      <c r="T8" s="13"/>
      <c r="V8" s="4">
        <f t="shared" ref="V8:AH8" si="8">COUNTIF($F$2:$F8,V$1)</f>
        <v>0</v>
      </c>
      <c r="W8" s="4">
        <f t="shared" si="8"/>
        <v>2</v>
      </c>
      <c r="X8" s="4">
        <f t="shared" si="8"/>
        <v>0</v>
      </c>
      <c r="Y8" s="4">
        <f t="shared" si="8"/>
        <v>0</v>
      </c>
      <c r="Z8" s="4">
        <f t="shared" si="8"/>
        <v>1</v>
      </c>
      <c r="AA8" s="4">
        <f t="shared" si="8"/>
        <v>0</v>
      </c>
      <c r="AB8" s="4">
        <f t="shared" si="8"/>
        <v>0</v>
      </c>
      <c r="AC8" s="4">
        <f t="shared" si="8"/>
        <v>0</v>
      </c>
      <c r="AD8" s="4">
        <f t="shared" si="8"/>
        <v>3</v>
      </c>
      <c r="AE8" s="4">
        <f t="shared" si="8"/>
        <v>0</v>
      </c>
      <c r="AF8" s="4">
        <f t="shared" si="8"/>
        <v>1</v>
      </c>
      <c r="AG8" s="4">
        <f t="shared" si="8"/>
        <v>0</v>
      </c>
      <c r="AH8" s="4">
        <f t="shared" si="8"/>
        <v>0</v>
      </c>
    </row>
    <row r="9">
      <c r="A9" s="7">
        <v>8.0</v>
      </c>
      <c r="B9" s="8">
        <v>39940.0</v>
      </c>
      <c r="C9" s="7" t="s">
        <v>27</v>
      </c>
      <c r="D9" s="7" t="s">
        <v>28</v>
      </c>
      <c r="E9" s="7" t="s">
        <v>4</v>
      </c>
      <c r="F9" s="7" t="s">
        <v>6</v>
      </c>
      <c r="G9" s="9">
        <f t="shared" si="2"/>
        <v>7</v>
      </c>
      <c r="H9" s="10" t="s">
        <v>29</v>
      </c>
      <c r="I9" s="10" t="s">
        <v>29</v>
      </c>
      <c r="J9" s="11"/>
      <c r="K9" s="10" t="s">
        <v>29</v>
      </c>
      <c r="L9" s="10" t="s">
        <v>29</v>
      </c>
      <c r="M9" s="11"/>
      <c r="N9" s="10" t="s">
        <v>29</v>
      </c>
      <c r="O9" s="11"/>
      <c r="P9" s="10" t="s">
        <v>29</v>
      </c>
      <c r="Q9" s="11"/>
      <c r="R9" s="10" t="s">
        <v>29</v>
      </c>
      <c r="S9" s="12"/>
      <c r="T9" s="13"/>
      <c r="V9" s="4">
        <f t="shared" ref="V9:AH9" si="9">COUNTIF($F$2:$F9,V$1)</f>
        <v>0</v>
      </c>
      <c r="W9" s="4">
        <f t="shared" si="9"/>
        <v>2</v>
      </c>
      <c r="X9" s="4">
        <f t="shared" si="9"/>
        <v>0</v>
      </c>
      <c r="Y9" s="4">
        <f t="shared" si="9"/>
        <v>0</v>
      </c>
      <c r="Z9" s="4">
        <f t="shared" si="9"/>
        <v>1</v>
      </c>
      <c r="AA9" s="4">
        <f t="shared" si="9"/>
        <v>0</v>
      </c>
      <c r="AB9" s="4">
        <f t="shared" si="9"/>
        <v>1</v>
      </c>
      <c r="AC9" s="4">
        <f t="shared" si="9"/>
        <v>0</v>
      </c>
      <c r="AD9" s="4">
        <f t="shared" si="9"/>
        <v>3</v>
      </c>
      <c r="AE9" s="4">
        <f t="shared" si="9"/>
        <v>0</v>
      </c>
      <c r="AF9" s="4">
        <f t="shared" si="9"/>
        <v>1</v>
      </c>
      <c r="AG9" s="4">
        <f t="shared" si="9"/>
        <v>0</v>
      </c>
      <c r="AH9" s="4">
        <f t="shared" si="9"/>
        <v>0</v>
      </c>
    </row>
    <row r="10">
      <c r="A10" s="7">
        <v>9.0</v>
      </c>
      <c r="B10" s="8">
        <v>40056.0</v>
      </c>
      <c r="C10" s="7" t="s">
        <v>31</v>
      </c>
      <c r="D10" s="7" t="s">
        <v>28</v>
      </c>
      <c r="E10" s="7" t="s">
        <v>10</v>
      </c>
      <c r="F10" s="7" t="s">
        <v>10</v>
      </c>
      <c r="G10" s="9">
        <f t="shared" si="2"/>
        <v>7</v>
      </c>
      <c r="H10" s="10" t="s">
        <v>29</v>
      </c>
      <c r="I10" s="10" t="s">
        <v>29</v>
      </c>
      <c r="J10" s="11"/>
      <c r="K10" s="10" t="s">
        <v>29</v>
      </c>
      <c r="L10" s="10" t="s">
        <v>29</v>
      </c>
      <c r="M10" s="11"/>
      <c r="N10" s="10" t="s">
        <v>29</v>
      </c>
      <c r="O10" s="11"/>
      <c r="P10" s="10" t="s">
        <v>29</v>
      </c>
      <c r="Q10" s="11"/>
      <c r="R10" s="10" t="s">
        <v>29</v>
      </c>
      <c r="S10" s="12"/>
      <c r="T10" s="13"/>
      <c r="V10" s="4">
        <f t="shared" ref="V10:AH10" si="10">COUNTIF($F$2:$F10,V$1)</f>
        <v>0</v>
      </c>
      <c r="W10" s="4">
        <f t="shared" si="10"/>
        <v>2</v>
      </c>
      <c r="X10" s="4">
        <f t="shared" si="10"/>
        <v>0</v>
      </c>
      <c r="Y10" s="4">
        <f t="shared" si="10"/>
        <v>0</v>
      </c>
      <c r="Z10" s="4">
        <f t="shared" si="10"/>
        <v>1</v>
      </c>
      <c r="AA10" s="4">
        <f t="shared" si="10"/>
        <v>0</v>
      </c>
      <c r="AB10" s="4">
        <f t="shared" si="10"/>
        <v>1</v>
      </c>
      <c r="AC10" s="4">
        <f t="shared" si="10"/>
        <v>0</v>
      </c>
      <c r="AD10" s="4">
        <f t="shared" si="10"/>
        <v>3</v>
      </c>
      <c r="AE10" s="4">
        <f t="shared" si="10"/>
        <v>0</v>
      </c>
      <c r="AF10" s="4">
        <f t="shared" si="10"/>
        <v>2</v>
      </c>
      <c r="AG10" s="4">
        <f t="shared" si="10"/>
        <v>0</v>
      </c>
      <c r="AH10" s="4">
        <f t="shared" si="10"/>
        <v>0</v>
      </c>
    </row>
    <row r="11">
      <c r="A11" s="7">
        <v>10.0</v>
      </c>
      <c r="B11" s="8">
        <v>40080.0</v>
      </c>
      <c r="C11" s="7" t="s">
        <v>31</v>
      </c>
      <c r="D11" s="7" t="s">
        <v>28</v>
      </c>
      <c r="E11" s="7" t="s">
        <v>8</v>
      </c>
      <c r="F11" s="7" t="s">
        <v>4</v>
      </c>
      <c r="G11" s="9">
        <f t="shared" si="2"/>
        <v>7</v>
      </c>
      <c r="H11" s="10" t="s">
        <v>29</v>
      </c>
      <c r="I11" s="10" t="s">
        <v>29</v>
      </c>
      <c r="J11" s="11"/>
      <c r="K11" s="10" t="s">
        <v>29</v>
      </c>
      <c r="L11" s="10" t="s">
        <v>29</v>
      </c>
      <c r="M11" s="11"/>
      <c r="N11" s="10" t="s">
        <v>29</v>
      </c>
      <c r="O11" s="11"/>
      <c r="P11" s="10" t="s">
        <v>29</v>
      </c>
      <c r="Q11" s="11"/>
      <c r="R11" s="10" t="s">
        <v>29</v>
      </c>
      <c r="S11" s="12"/>
      <c r="T11" s="13"/>
      <c r="V11" s="4">
        <f t="shared" ref="V11:AH11" si="11">COUNTIF($F$2:$F11,V$1)</f>
        <v>0</v>
      </c>
      <c r="W11" s="4">
        <f t="shared" si="11"/>
        <v>2</v>
      </c>
      <c r="X11" s="4">
        <f t="shared" si="11"/>
        <v>0</v>
      </c>
      <c r="Y11" s="4">
        <f t="shared" si="11"/>
        <v>0</v>
      </c>
      <c r="Z11" s="4">
        <f t="shared" si="11"/>
        <v>2</v>
      </c>
      <c r="AA11" s="4">
        <f t="shared" si="11"/>
        <v>0</v>
      </c>
      <c r="AB11" s="4">
        <f t="shared" si="11"/>
        <v>1</v>
      </c>
      <c r="AC11" s="4">
        <f t="shared" si="11"/>
        <v>0</v>
      </c>
      <c r="AD11" s="4">
        <f t="shared" si="11"/>
        <v>3</v>
      </c>
      <c r="AE11" s="4">
        <f t="shared" si="11"/>
        <v>0</v>
      </c>
      <c r="AF11" s="4">
        <f t="shared" si="11"/>
        <v>2</v>
      </c>
      <c r="AG11" s="4">
        <f t="shared" si="11"/>
        <v>0</v>
      </c>
      <c r="AH11" s="4">
        <f t="shared" si="11"/>
        <v>0</v>
      </c>
    </row>
    <row r="12">
      <c r="A12" s="7">
        <v>11.0</v>
      </c>
      <c r="B12" s="8">
        <v>40101.0</v>
      </c>
      <c r="C12" s="7" t="s">
        <v>31</v>
      </c>
      <c r="D12" s="7" t="s">
        <v>28</v>
      </c>
      <c r="E12" s="7" t="s">
        <v>0</v>
      </c>
      <c r="F12" s="7" t="s">
        <v>1</v>
      </c>
      <c r="G12" s="9">
        <f t="shared" si="2"/>
        <v>7</v>
      </c>
      <c r="H12" s="10" t="s">
        <v>29</v>
      </c>
      <c r="I12" s="10" t="s">
        <v>29</v>
      </c>
      <c r="J12" s="11"/>
      <c r="K12" s="10" t="s">
        <v>29</v>
      </c>
      <c r="L12" s="10" t="s">
        <v>29</v>
      </c>
      <c r="M12" s="11"/>
      <c r="N12" s="10" t="s">
        <v>29</v>
      </c>
      <c r="O12" s="11"/>
      <c r="P12" s="10" t="s">
        <v>29</v>
      </c>
      <c r="Q12" s="11"/>
      <c r="R12" s="10" t="s">
        <v>29</v>
      </c>
      <c r="S12" s="12"/>
      <c r="T12" s="13"/>
      <c r="V12" s="4">
        <f t="shared" ref="V12:AH12" si="12">COUNTIF($F$2:$F12,V$1)</f>
        <v>0</v>
      </c>
      <c r="W12" s="4">
        <f t="shared" si="12"/>
        <v>3</v>
      </c>
      <c r="X12" s="4">
        <f t="shared" si="12"/>
        <v>0</v>
      </c>
      <c r="Y12" s="4">
        <f t="shared" si="12"/>
        <v>0</v>
      </c>
      <c r="Z12" s="4">
        <f t="shared" si="12"/>
        <v>2</v>
      </c>
      <c r="AA12" s="4">
        <f t="shared" si="12"/>
        <v>0</v>
      </c>
      <c r="AB12" s="4">
        <f t="shared" si="12"/>
        <v>1</v>
      </c>
      <c r="AC12" s="4">
        <f t="shared" si="12"/>
        <v>0</v>
      </c>
      <c r="AD12" s="4">
        <f t="shared" si="12"/>
        <v>3</v>
      </c>
      <c r="AE12" s="4">
        <f t="shared" si="12"/>
        <v>0</v>
      </c>
      <c r="AF12" s="4">
        <f t="shared" si="12"/>
        <v>2</v>
      </c>
      <c r="AG12" s="4">
        <f t="shared" si="12"/>
        <v>0</v>
      </c>
      <c r="AH12" s="4">
        <f t="shared" si="12"/>
        <v>0</v>
      </c>
    </row>
    <row r="13">
      <c r="A13" s="7">
        <v>12.0</v>
      </c>
      <c r="B13" s="8">
        <v>40150.0</v>
      </c>
      <c r="C13" s="7" t="s">
        <v>31</v>
      </c>
      <c r="D13" s="7" t="s">
        <v>28</v>
      </c>
      <c r="E13" s="7" t="s">
        <v>6</v>
      </c>
      <c r="F13" s="7" t="s">
        <v>6</v>
      </c>
      <c r="G13" s="9">
        <f t="shared" si="2"/>
        <v>7</v>
      </c>
      <c r="H13" s="10" t="s">
        <v>29</v>
      </c>
      <c r="I13" s="10" t="s">
        <v>29</v>
      </c>
      <c r="J13" s="11"/>
      <c r="K13" s="10" t="s">
        <v>29</v>
      </c>
      <c r="L13" s="10" t="s">
        <v>29</v>
      </c>
      <c r="M13" s="11"/>
      <c r="N13" s="10" t="s">
        <v>29</v>
      </c>
      <c r="O13" s="11"/>
      <c r="P13" s="10" t="s">
        <v>29</v>
      </c>
      <c r="Q13" s="11"/>
      <c r="R13" s="10" t="s">
        <v>29</v>
      </c>
      <c r="S13" s="12"/>
      <c r="T13" s="13"/>
      <c r="V13" s="4">
        <f t="shared" ref="V13:AH13" si="13">COUNTIF($F$2:$F13,V$1)</f>
        <v>0</v>
      </c>
      <c r="W13" s="4">
        <f t="shared" si="13"/>
        <v>3</v>
      </c>
      <c r="X13" s="4">
        <f t="shared" si="13"/>
        <v>0</v>
      </c>
      <c r="Y13" s="4">
        <f t="shared" si="13"/>
        <v>0</v>
      </c>
      <c r="Z13" s="4">
        <f t="shared" si="13"/>
        <v>2</v>
      </c>
      <c r="AA13" s="4">
        <f t="shared" si="13"/>
        <v>0</v>
      </c>
      <c r="AB13" s="4">
        <f t="shared" si="13"/>
        <v>2</v>
      </c>
      <c r="AC13" s="4">
        <f t="shared" si="13"/>
        <v>0</v>
      </c>
      <c r="AD13" s="4">
        <f t="shared" si="13"/>
        <v>3</v>
      </c>
      <c r="AE13" s="4">
        <f t="shared" si="13"/>
        <v>0</v>
      </c>
      <c r="AF13" s="4">
        <f t="shared" si="13"/>
        <v>2</v>
      </c>
      <c r="AG13" s="4">
        <f t="shared" si="13"/>
        <v>0</v>
      </c>
      <c r="AH13" s="4">
        <f t="shared" si="13"/>
        <v>0</v>
      </c>
    </row>
    <row r="14">
      <c r="A14" s="7">
        <v>13.0</v>
      </c>
      <c r="B14" s="8">
        <v>40185.0</v>
      </c>
      <c r="C14" s="7" t="s">
        <v>31</v>
      </c>
      <c r="D14" s="7" t="s">
        <v>28</v>
      </c>
      <c r="E14" s="7" t="s">
        <v>4</v>
      </c>
      <c r="F14" s="7" t="s">
        <v>1</v>
      </c>
      <c r="G14" s="9">
        <f t="shared" si="2"/>
        <v>6</v>
      </c>
      <c r="H14" s="7" t="s">
        <v>29</v>
      </c>
      <c r="I14" s="7" t="s">
        <v>29</v>
      </c>
      <c r="J14" s="11"/>
      <c r="K14" s="7" t="s">
        <v>28</v>
      </c>
      <c r="L14" s="7" t="s">
        <v>29</v>
      </c>
      <c r="M14" s="11"/>
      <c r="N14" s="7" t="s">
        <v>29</v>
      </c>
      <c r="O14" s="11"/>
      <c r="P14" s="7" t="s">
        <v>29</v>
      </c>
      <c r="Q14" s="11"/>
      <c r="R14" s="7" t="s">
        <v>29</v>
      </c>
      <c r="S14" s="12"/>
      <c r="T14" s="13"/>
      <c r="V14" s="4">
        <f t="shared" ref="V14:AH14" si="14">COUNTIF($F$2:$F14,V$1)</f>
        <v>0</v>
      </c>
      <c r="W14" s="4">
        <f t="shared" si="14"/>
        <v>4</v>
      </c>
      <c r="X14" s="4">
        <f t="shared" si="14"/>
        <v>0</v>
      </c>
      <c r="Y14" s="4">
        <f t="shared" si="14"/>
        <v>0</v>
      </c>
      <c r="Z14" s="4">
        <f t="shared" si="14"/>
        <v>2</v>
      </c>
      <c r="AA14" s="4">
        <f t="shared" si="14"/>
        <v>0</v>
      </c>
      <c r="AB14" s="4">
        <f t="shared" si="14"/>
        <v>2</v>
      </c>
      <c r="AC14" s="4">
        <f t="shared" si="14"/>
        <v>0</v>
      </c>
      <c r="AD14" s="4">
        <f t="shared" si="14"/>
        <v>3</v>
      </c>
      <c r="AE14" s="4">
        <f t="shared" si="14"/>
        <v>0</v>
      </c>
      <c r="AF14" s="4">
        <f t="shared" si="14"/>
        <v>2</v>
      </c>
      <c r="AG14" s="4">
        <f t="shared" si="14"/>
        <v>0</v>
      </c>
      <c r="AH14" s="4">
        <f t="shared" si="14"/>
        <v>0</v>
      </c>
    </row>
    <row r="15">
      <c r="A15" s="7">
        <v>14.0</v>
      </c>
      <c r="B15" s="8">
        <v>40213.0</v>
      </c>
      <c r="C15" s="7" t="s">
        <v>31</v>
      </c>
      <c r="D15" s="7" t="s">
        <v>28</v>
      </c>
      <c r="E15" s="7" t="s">
        <v>1</v>
      </c>
      <c r="F15" s="7" t="s">
        <v>32</v>
      </c>
      <c r="G15" s="9">
        <f t="shared" si="2"/>
        <v>5</v>
      </c>
      <c r="H15" s="7" t="s">
        <v>29</v>
      </c>
      <c r="I15" s="7" t="s">
        <v>29</v>
      </c>
      <c r="J15" s="11"/>
      <c r="K15" s="7" t="s">
        <v>28</v>
      </c>
      <c r="L15" s="7" t="s">
        <v>29</v>
      </c>
      <c r="M15" s="11"/>
      <c r="N15" s="7" t="s">
        <v>29</v>
      </c>
      <c r="O15" s="11"/>
      <c r="P15" s="7" t="s">
        <v>29</v>
      </c>
      <c r="Q15" s="11"/>
      <c r="R15" s="7" t="s">
        <v>28</v>
      </c>
      <c r="S15" s="12"/>
      <c r="T15" s="13"/>
      <c r="V15" s="4">
        <f t="shared" ref="V15:AH15" si="15">COUNTIF($F$2:$F15,V$1)</f>
        <v>0</v>
      </c>
      <c r="W15" s="4">
        <f t="shared" si="15"/>
        <v>4</v>
      </c>
      <c r="X15" s="4">
        <f t="shared" si="15"/>
        <v>0</v>
      </c>
      <c r="Y15" s="4">
        <f t="shared" si="15"/>
        <v>0</v>
      </c>
      <c r="Z15" s="4">
        <f t="shared" si="15"/>
        <v>2</v>
      </c>
      <c r="AA15" s="4">
        <f t="shared" si="15"/>
        <v>0</v>
      </c>
      <c r="AB15" s="4">
        <f t="shared" si="15"/>
        <v>2</v>
      </c>
      <c r="AC15" s="4">
        <f t="shared" si="15"/>
        <v>0</v>
      </c>
      <c r="AD15" s="4">
        <f t="shared" si="15"/>
        <v>3</v>
      </c>
      <c r="AE15" s="4">
        <f t="shared" si="15"/>
        <v>0</v>
      </c>
      <c r="AF15" s="4">
        <f t="shared" si="15"/>
        <v>2</v>
      </c>
      <c r="AG15" s="4">
        <f t="shared" si="15"/>
        <v>0</v>
      </c>
      <c r="AH15" s="4">
        <f t="shared" si="15"/>
        <v>0</v>
      </c>
    </row>
    <row r="16">
      <c r="A16" s="7">
        <v>15.0</v>
      </c>
      <c r="B16" s="8">
        <v>40247.0</v>
      </c>
      <c r="C16" s="7" t="s">
        <v>31</v>
      </c>
      <c r="D16" s="7" t="s">
        <v>29</v>
      </c>
      <c r="E16" s="7" t="s">
        <v>33</v>
      </c>
      <c r="F16" s="7" t="s">
        <v>8</v>
      </c>
      <c r="G16" s="9">
        <f t="shared" si="2"/>
        <v>1</v>
      </c>
      <c r="H16" s="7" t="s">
        <v>28</v>
      </c>
      <c r="I16" s="7" t="s">
        <v>28</v>
      </c>
      <c r="J16" s="11"/>
      <c r="K16" s="7" t="s">
        <v>28</v>
      </c>
      <c r="L16" s="7" t="s">
        <v>28</v>
      </c>
      <c r="M16" s="11"/>
      <c r="N16" s="7" t="s">
        <v>28</v>
      </c>
      <c r="O16" s="11"/>
      <c r="P16" s="7" t="s">
        <v>29</v>
      </c>
      <c r="Q16" s="11"/>
      <c r="R16" s="7" t="s">
        <v>28</v>
      </c>
      <c r="S16" s="12"/>
      <c r="T16" s="13"/>
      <c r="V16" s="4">
        <f t="shared" ref="V16:AH16" si="16">COUNTIF($F$2:$F16,V$1)</f>
        <v>0</v>
      </c>
      <c r="W16" s="4">
        <f t="shared" si="16"/>
        <v>4</v>
      </c>
      <c r="X16" s="4">
        <f t="shared" si="16"/>
        <v>0</v>
      </c>
      <c r="Y16" s="4">
        <f t="shared" si="16"/>
        <v>0</v>
      </c>
      <c r="Z16" s="4">
        <f t="shared" si="16"/>
        <v>2</v>
      </c>
      <c r="AA16" s="4">
        <f t="shared" si="16"/>
        <v>0</v>
      </c>
      <c r="AB16" s="4">
        <f t="shared" si="16"/>
        <v>2</v>
      </c>
      <c r="AC16" s="4">
        <f t="shared" si="16"/>
        <v>0</v>
      </c>
      <c r="AD16" s="4">
        <f t="shared" si="16"/>
        <v>4</v>
      </c>
      <c r="AE16" s="4">
        <f t="shared" si="16"/>
        <v>0</v>
      </c>
      <c r="AF16" s="4">
        <f t="shared" si="16"/>
        <v>2</v>
      </c>
      <c r="AG16" s="4">
        <f t="shared" si="16"/>
        <v>0</v>
      </c>
      <c r="AH16" s="4">
        <f t="shared" si="16"/>
        <v>0</v>
      </c>
    </row>
    <row r="17">
      <c r="A17" s="7">
        <v>16.0</v>
      </c>
      <c r="B17" s="8">
        <v>40269.0</v>
      </c>
      <c r="C17" s="7" t="s">
        <v>31</v>
      </c>
      <c r="D17" s="7" t="s">
        <v>29</v>
      </c>
      <c r="E17" s="7" t="s">
        <v>30</v>
      </c>
      <c r="F17" s="7" t="s">
        <v>3</v>
      </c>
      <c r="G17" s="9">
        <f t="shared" si="2"/>
        <v>6</v>
      </c>
      <c r="H17" s="7" t="s">
        <v>28</v>
      </c>
      <c r="I17" s="7" t="s">
        <v>29</v>
      </c>
      <c r="J17" s="11"/>
      <c r="K17" s="7" t="s">
        <v>29</v>
      </c>
      <c r="L17" s="7" t="s">
        <v>29</v>
      </c>
      <c r="M17" s="11"/>
      <c r="N17" s="7" t="s">
        <v>29</v>
      </c>
      <c r="O17" s="11"/>
      <c r="P17" s="7" t="s">
        <v>29</v>
      </c>
      <c r="Q17" s="11"/>
      <c r="R17" s="7" t="s">
        <v>29</v>
      </c>
      <c r="S17" s="12"/>
      <c r="T17" s="13"/>
      <c r="V17" s="4">
        <f t="shared" ref="V17:AH17" si="17">COUNTIF($F$2:$F17,V$1)</f>
        <v>0</v>
      </c>
      <c r="W17" s="4">
        <f t="shared" si="17"/>
        <v>4</v>
      </c>
      <c r="X17" s="4">
        <f t="shared" si="17"/>
        <v>0</v>
      </c>
      <c r="Y17" s="4">
        <f t="shared" si="17"/>
        <v>1</v>
      </c>
      <c r="Z17" s="4">
        <f t="shared" si="17"/>
        <v>2</v>
      </c>
      <c r="AA17" s="4">
        <f t="shared" si="17"/>
        <v>0</v>
      </c>
      <c r="AB17" s="4">
        <f t="shared" si="17"/>
        <v>2</v>
      </c>
      <c r="AC17" s="4">
        <f t="shared" si="17"/>
        <v>0</v>
      </c>
      <c r="AD17" s="4">
        <f t="shared" si="17"/>
        <v>4</v>
      </c>
      <c r="AE17" s="4">
        <f t="shared" si="17"/>
        <v>0</v>
      </c>
      <c r="AF17" s="4">
        <f t="shared" si="17"/>
        <v>2</v>
      </c>
      <c r="AG17" s="4">
        <f t="shared" si="17"/>
        <v>0</v>
      </c>
      <c r="AH17" s="4">
        <f t="shared" si="17"/>
        <v>0</v>
      </c>
    </row>
    <row r="18">
      <c r="A18" s="7">
        <v>17.0</v>
      </c>
      <c r="B18" s="8">
        <v>40304.0</v>
      </c>
      <c r="C18" s="7" t="s">
        <v>31</v>
      </c>
      <c r="D18" s="7" t="s">
        <v>28</v>
      </c>
      <c r="E18" s="7" t="s">
        <v>10</v>
      </c>
      <c r="F18" s="7" t="s">
        <v>6</v>
      </c>
      <c r="G18" s="9">
        <f t="shared" si="2"/>
        <v>6</v>
      </c>
      <c r="H18" s="7" t="s">
        <v>29</v>
      </c>
      <c r="I18" s="7" t="s">
        <v>29</v>
      </c>
      <c r="J18" s="11"/>
      <c r="K18" s="7" t="s">
        <v>28</v>
      </c>
      <c r="L18" s="7" t="s">
        <v>29</v>
      </c>
      <c r="M18" s="11"/>
      <c r="N18" s="7" t="s">
        <v>29</v>
      </c>
      <c r="O18" s="11"/>
      <c r="P18" s="7" t="s">
        <v>29</v>
      </c>
      <c r="Q18" s="11"/>
      <c r="R18" s="7" t="s">
        <v>29</v>
      </c>
      <c r="S18" s="12"/>
      <c r="T18" s="13"/>
      <c r="V18" s="4">
        <f t="shared" ref="V18:AH18" si="18">COUNTIF($F$2:$F18,V$1)</f>
        <v>0</v>
      </c>
      <c r="W18" s="4">
        <f t="shared" si="18"/>
        <v>4</v>
      </c>
      <c r="X18" s="4">
        <f t="shared" si="18"/>
        <v>0</v>
      </c>
      <c r="Y18" s="4">
        <f t="shared" si="18"/>
        <v>1</v>
      </c>
      <c r="Z18" s="4">
        <f t="shared" si="18"/>
        <v>2</v>
      </c>
      <c r="AA18" s="4">
        <f t="shared" si="18"/>
        <v>0</v>
      </c>
      <c r="AB18" s="4">
        <f t="shared" si="18"/>
        <v>3</v>
      </c>
      <c r="AC18" s="4">
        <f t="shared" si="18"/>
        <v>0</v>
      </c>
      <c r="AD18" s="4">
        <f t="shared" si="18"/>
        <v>4</v>
      </c>
      <c r="AE18" s="4">
        <f t="shared" si="18"/>
        <v>0</v>
      </c>
      <c r="AF18" s="4">
        <f t="shared" si="18"/>
        <v>2</v>
      </c>
      <c r="AG18" s="4">
        <f t="shared" si="18"/>
        <v>0</v>
      </c>
      <c r="AH18" s="4">
        <f t="shared" si="18"/>
        <v>0</v>
      </c>
    </row>
    <row r="19">
      <c r="A19" s="7">
        <v>18.0</v>
      </c>
      <c r="B19" s="8">
        <v>40359.0</v>
      </c>
      <c r="C19" s="7" t="s">
        <v>31</v>
      </c>
      <c r="D19" s="7" t="s">
        <v>28</v>
      </c>
      <c r="E19" s="7" t="s">
        <v>8</v>
      </c>
      <c r="F19" s="7" t="s">
        <v>4</v>
      </c>
      <c r="G19" s="9">
        <f t="shared" si="2"/>
        <v>4</v>
      </c>
      <c r="H19" s="7" t="s">
        <v>29</v>
      </c>
      <c r="I19" s="7" t="s">
        <v>29</v>
      </c>
      <c r="J19" s="11"/>
      <c r="K19" s="7" t="s">
        <v>28</v>
      </c>
      <c r="L19" s="7" t="s">
        <v>29</v>
      </c>
      <c r="M19" s="11"/>
      <c r="N19" s="7" t="s">
        <v>28</v>
      </c>
      <c r="O19" s="11"/>
      <c r="P19" s="7" t="s">
        <v>29</v>
      </c>
      <c r="Q19" s="11"/>
      <c r="R19" s="7" t="s">
        <v>28</v>
      </c>
      <c r="S19" s="12"/>
      <c r="T19" s="13"/>
      <c r="V19" s="4">
        <f t="shared" ref="V19:AH19" si="19">COUNTIF($F$2:$F19,V$1)</f>
        <v>0</v>
      </c>
      <c r="W19" s="4">
        <f t="shared" si="19"/>
        <v>4</v>
      </c>
      <c r="X19" s="4">
        <f t="shared" si="19"/>
        <v>0</v>
      </c>
      <c r="Y19" s="4">
        <f t="shared" si="19"/>
        <v>1</v>
      </c>
      <c r="Z19" s="4">
        <f t="shared" si="19"/>
        <v>3</v>
      </c>
      <c r="AA19" s="4">
        <f t="shared" si="19"/>
        <v>0</v>
      </c>
      <c r="AB19" s="4">
        <f t="shared" si="19"/>
        <v>3</v>
      </c>
      <c r="AC19" s="4">
        <f t="shared" si="19"/>
        <v>0</v>
      </c>
      <c r="AD19" s="4">
        <f t="shared" si="19"/>
        <v>4</v>
      </c>
      <c r="AE19" s="4">
        <f t="shared" si="19"/>
        <v>0</v>
      </c>
      <c r="AF19" s="4">
        <f t="shared" si="19"/>
        <v>2</v>
      </c>
      <c r="AG19" s="4">
        <f t="shared" si="19"/>
        <v>0</v>
      </c>
      <c r="AH19" s="4">
        <f t="shared" si="19"/>
        <v>0</v>
      </c>
    </row>
    <row r="20">
      <c r="A20" s="7">
        <v>19.0</v>
      </c>
      <c r="B20" s="8">
        <v>40403.0</v>
      </c>
      <c r="C20" s="7" t="s">
        <v>34</v>
      </c>
      <c r="D20" s="7" t="s">
        <v>28</v>
      </c>
      <c r="E20" s="7" t="s">
        <v>35</v>
      </c>
      <c r="F20" s="7" t="s">
        <v>3</v>
      </c>
      <c r="G20" s="9">
        <f t="shared" si="2"/>
        <v>4</v>
      </c>
      <c r="H20" s="7" t="s">
        <v>28</v>
      </c>
      <c r="I20" s="7" t="s">
        <v>28</v>
      </c>
      <c r="J20" s="11"/>
      <c r="K20" s="7" t="s">
        <v>29</v>
      </c>
      <c r="L20" s="7" t="s">
        <v>29</v>
      </c>
      <c r="M20" s="11"/>
      <c r="N20" s="7" t="s">
        <v>28</v>
      </c>
      <c r="O20" s="11"/>
      <c r="P20" s="7" t="s">
        <v>29</v>
      </c>
      <c r="Q20" s="11"/>
      <c r="R20" s="7" t="s">
        <v>29</v>
      </c>
      <c r="S20" s="12"/>
      <c r="T20" s="13"/>
      <c r="V20" s="4">
        <f t="shared" ref="V20:AH20" si="20">COUNTIF($F$2:$F20,V$1)</f>
        <v>0</v>
      </c>
      <c r="W20" s="4">
        <f t="shared" si="20"/>
        <v>4</v>
      </c>
      <c r="X20" s="4">
        <f t="shared" si="20"/>
        <v>0</v>
      </c>
      <c r="Y20" s="4">
        <f t="shared" si="20"/>
        <v>2</v>
      </c>
      <c r="Z20" s="4">
        <f t="shared" si="20"/>
        <v>3</v>
      </c>
      <c r="AA20" s="4">
        <f t="shared" si="20"/>
        <v>0</v>
      </c>
      <c r="AB20" s="4">
        <f t="shared" si="20"/>
        <v>3</v>
      </c>
      <c r="AC20" s="4">
        <f t="shared" si="20"/>
        <v>0</v>
      </c>
      <c r="AD20" s="4">
        <f t="shared" si="20"/>
        <v>4</v>
      </c>
      <c r="AE20" s="4">
        <f t="shared" si="20"/>
        <v>0</v>
      </c>
      <c r="AF20" s="4">
        <f t="shared" si="20"/>
        <v>2</v>
      </c>
      <c r="AG20" s="4">
        <f t="shared" si="20"/>
        <v>0</v>
      </c>
      <c r="AH20" s="4">
        <f t="shared" si="20"/>
        <v>0</v>
      </c>
    </row>
    <row r="21">
      <c r="A21" s="7">
        <v>20.0</v>
      </c>
      <c r="B21" s="8">
        <v>40444.0</v>
      </c>
      <c r="C21" s="7" t="s">
        <v>34</v>
      </c>
      <c r="D21" s="7" t="s">
        <v>28</v>
      </c>
      <c r="E21" s="7" t="s">
        <v>6</v>
      </c>
      <c r="F21" s="7" t="s">
        <v>8</v>
      </c>
      <c r="G21" s="9">
        <f t="shared" si="2"/>
        <v>6</v>
      </c>
      <c r="H21" s="7" t="s">
        <v>29</v>
      </c>
      <c r="I21" s="7" t="s">
        <v>29</v>
      </c>
      <c r="J21" s="11"/>
      <c r="K21" s="7" t="s">
        <v>28</v>
      </c>
      <c r="L21" s="7" t="s">
        <v>29</v>
      </c>
      <c r="M21" s="11"/>
      <c r="N21" s="7" t="s">
        <v>29</v>
      </c>
      <c r="O21" s="11"/>
      <c r="P21" s="7" t="s">
        <v>29</v>
      </c>
      <c r="Q21" s="11"/>
      <c r="R21" s="7" t="s">
        <v>29</v>
      </c>
      <c r="S21" s="12"/>
      <c r="T21" s="13"/>
      <c r="V21" s="4">
        <f t="shared" ref="V21:AH21" si="21">COUNTIF($F$2:$F21,V$1)</f>
        <v>0</v>
      </c>
      <c r="W21" s="4">
        <f t="shared" si="21"/>
        <v>4</v>
      </c>
      <c r="X21" s="4">
        <f t="shared" si="21"/>
        <v>0</v>
      </c>
      <c r="Y21" s="4">
        <f t="shared" si="21"/>
        <v>2</v>
      </c>
      <c r="Z21" s="4">
        <f t="shared" si="21"/>
        <v>3</v>
      </c>
      <c r="AA21" s="4">
        <f t="shared" si="21"/>
        <v>0</v>
      </c>
      <c r="AB21" s="4">
        <f t="shared" si="21"/>
        <v>3</v>
      </c>
      <c r="AC21" s="4">
        <f t="shared" si="21"/>
        <v>0</v>
      </c>
      <c r="AD21" s="4">
        <f t="shared" si="21"/>
        <v>5</v>
      </c>
      <c r="AE21" s="4">
        <f t="shared" si="21"/>
        <v>0</v>
      </c>
      <c r="AF21" s="4">
        <f t="shared" si="21"/>
        <v>2</v>
      </c>
      <c r="AG21" s="4">
        <f t="shared" si="21"/>
        <v>0</v>
      </c>
      <c r="AH21" s="4">
        <f t="shared" si="21"/>
        <v>0</v>
      </c>
    </row>
    <row r="22">
      <c r="A22" s="7">
        <v>21.0</v>
      </c>
      <c r="B22" s="8">
        <v>40479.0</v>
      </c>
      <c r="C22" s="7" t="s">
        <v>34</v>
      </c>
      <c r="D22" s="7" t="s">
        <v>28</v>
      </c>
      <c r="E22" s="7" t="s">
        <v>8</v>
      </c>
      <c r="F22" s="7" t="s">
        <v>7</v>
      </c>
      <c r="G22" s="9">
        <f t="shared" si="2"/>
        <v>6</v>
      </c>
      <c r="H22" s="7" t="s">
        <v>29</v>
      </c>
      <c r="I22" s="7" t="s">
        <v>29</v>
      </c>
      <c r="J22" s="11"/>
      <c r="K22" s="7" t="s">
        <v>28</v>
      </c>
      <c r="L22" s="7" t="s">
        <v>29</v>
      </c>
      <c r="M22" s="11"/>
      <c r="N22" s="7" t="s">
        <v>28</v>
      </c>
      <c r="O22" s="7" t="s">
        <v>29</v>
      </c>
      <c r="P22" s="7" t="s">
        <v>29</v>
      </c>
      <c r="Q22" s="11"/>
      <c r="R22" s="7" t="s">
        <v>29</v>
      </c>
      <c r="S22" s="12"/>
      <c r="T22" s="13"/>
      <c r="V22" s="4">
        <f t="shared" ref="V22:AH22" si="22">COUNTIF($F$2:$F22,V$1)</f>
        <v>0</v>
      </c>
      <c r="W22" s="4">
        <f t="shared" si="22"/>
        <v>4</v>
      </c>
      <c r="X22" s="4">
        <f t="shared" si="22"/>
        <v>0</v>
      </c>
      <c r="Y22" s="4">
        <f t="shared" si="22"/>
        <v>2</v>
      </c>
      <c r="Z22" s="4">
        <f t="shared" si="22"/>
        <v>3</v>
      </c>
      <c r="AA22" s="4">
        <f t="shared" si="22"/>
        <v>0</v>
      </c>
      <c r="AB22" s="4">
        <f t="shared" si="22"/>
        <v>3</v>
      </c>
      <c r="AC22" s="4">
        <f t="shared" si="22"/>
        <v>1</v>
      </c>
      <c r="AD22" s="4">
        <f t="shared" si="22"/>
        <v>5</v>
      </c>
      <c r="AE22" s="4">
        <f t="shared" si="22"/>
        <v>0</v>
      </c>
      <c r="AF22" s="4">
        <f t="shared" si="22"/>
        <v>2</v>
      </c>
      <c r="AG22" s="4">
        <f t="shared" si="22"/>
        <v>0</v>
      </c>
      <c r="AH22" s="4">
        <f t="shared" si="22"/>
        <v>0</v>
      </c>
    </row>
    <row r="23">
      <c r="A23" s="7">
        <v>22.0</v>
      </c>
      <c r="B23" s="8">
        <v>40515.0</v>
      </c>
      <c r="C23" s="7" t="s">
        <v>34</v>
      </c>
      <c r="D23" s="7" t="s">
        <v>28</v>
      </c>
      <c r="E23" s="7" t="s">
        <v>4</v>
      </c>
      <c r="F23" s="7" t="s">
        <v>6</v>
      </c>
      <c r="G23" s="9">
        <f t="shared" si="2"/>
        <v>5</v>
      </c>
      <c r="H23" s="7" t="s">
        <v>28</v>
      </c>
      <c r="I23" s="7" t="s">
        <v>29</v>
      </c>
      <c r="J23" s="11"/>
      <c r="K23" s="7" t="s">
        <v>28</v>
      </c>
      <c r="L23" s="7" t="s">
        <v>29</v>
      </c>
      <c r="M23" s="11"/>
      <c r="N23" s="7" t="s">
        <v>29</v>
      </c>
      <c r="O23" s="7" t="s">
        <v>29</v>
      </c>
      <c r="P23" s="7" t="s">
        <v>29</v>
      </c>
      <c r="Q23" s="11"/>
      <c r="R23" s="7" t="s">
        <v>28</v>
      </c>
      <c r="S23" s="12"/>
      <c r="T23" s="13"/>
      <c r="V23" s="4">
        <f t="shared" ref="V23:AH23" si="23">COUNTIF($F$2:$F23,V$1)</f>
        <v>0</v>
      </c>
      <c r="W23" s="4">
        <f t="shared" si="23"/>
        <v>4</v>
      </c>
      <c r="X23" s="4">
        <f t="shared" si="23"/>
        <v>0</v>
      </c>
      <c r="Y23" s="4">
        <f t="shared" si="23"/>
        <v>2</v>
      </c>
      <c r="Z23" s="4">
        <f t="shared" si="23"/>
        <v>3</v>
      </c>
      <c r="AA23" s="4">
        <f t="shared" si="23"/>
        <v>0</v>
      </c>
      <c r="AB23" s="4">
        <f t="shared" si="23"/>
        <v>4</v>
      </c>
      <c r="AC23" s="4">
        <f t="shared" si="23"/>
        <v>1</v>
      </c>
      <c r="AD23" s="4">
        <f t="shared" si="23"/>
        <v>5</v>
      </c>
      <c r="AE23" s="4">
        <f t="shared" si="23"/>
        <v>0</v>
      </c>
      <c r="AF23" s="4">
        <f t="shared" si="23"/>
        <v>2</v>
      </c>
      <c r="AG23" s="4">
        <f t="shared" si="23"/>
        <v>0</v>
      </c>
      <c r="AH23" s="4">
        <f t="shared" si="23"/>
        <v>0</v>
      </c>
    </row>
    <row r="24">
      <c r="A24" s="7">
        <v>23.0</v>
      </c>
      <c r="B24" s="8">
        <v>40541.0</v>
      </c>
      <c r="C24" s="7" t="s">
        <v>34</v>
      </c>
      <c r="D24" s="7" t="s">
        <v>28</v>
      </c>
      <c r="E24" s="7" t="s">
        <v>1</v>
      </c>
      <c r="F24" s="7" t="s">
        <v>8</v>
      </c>
      <c r="G24" s="9">
        <f t="shared" si="2"/>
        <v>7</v>
      </c>
      <c r="H24" s="7" t="s">
        <v>29</v>
      </c>
      <c r="I24" s="7" t="s">
        <v>29</v>
      </c>
      <c r="J24" s="11"/>
      <c r="K24" s="7" t="s">
        <v>28</v>
      </c>
      <c r="L24" s="7" t="s">
        <v>29</v>
      </c>
      <c r="M24" s="11"/>
      <c r="N24" s="7" t="s">
        <v>29</v>
      </c>
      <c r="O24" s="7" t="s">
        <v>29</v>
      </c>
      <c r="P24" s="7" t="s">
        <v>29</v>
      </c>
      <c r="Q24" s="11"/>
      <c r="R24" s="7" t="s">
        <v>29</v>
      </c>
      <c r="S24" s="12"/>
      <c r="T24" s="13"/>
      <c r="V24" s="4">
        <f t="shared" ref="V24:AH24" si="24">COUNTIF($F$2:$F24,V$1)</f>
        <v>0</v>
      </c>
      <c r="W24" s="4">
        <f t="shared" si="24"/>
        <v>4</v>
      </c>
      <c r="X24" s="4">
        <f t="shared" si="24"/>
        <v>0</v>
      </c>
      <c r="Y24" s="4">
        <f t="shared" si="24"/>
        <v>2</v>
      </c>
      <c r="Z24" s="4">
        <f t="shared" si="24"/>
        <v>3</v>
      </c>
      <c r="AA24" s="4">
        <f t="shared" si="24"/>
        <v>0</v>
      </c>
      <c r="AB24" s="4">
        <f t="shared" si="24"/>
        <v>4</v>
      </c>
      <c r="AC24" s="4">
        <f t="shared" si="24"/>
        <v>1</v>
      </c>
      <c r="AD24" s="4">
        <f t="shared" si="24"/>
        <v>6</v>
      </c>
      <c r="AE24" s="4">
        <f t="shared" si="24"/>
        <v>0</v>
      </c>
      <c r="AF24" s="4">
        <f t="shared" si="24"/>
        <v>2</v>
      </c>
      <c r="AG24" s="4">
        <f t="shared" si="24"/>
        <v>0</v>
      </c>
      <c r="AH24" s="4">
        <f t="shared" si="24"/>
        <v>0</v>
      </c>
    </row>
    <row r="25">
      <c r="A25" s="7">
        <v>24.0</v>
      </c>
      <c r="B25" s="8">
        <v>40570.0</v>
      </c>
      <c r="C25" s="7" t="s">
        <v>34</v>
      </c>
      <c r="D25" s="7" t="s">
        <v>28</v>
      </c>
      <c r="E25" s="7" t="s">
        <v>10</v>
      </c>
      <c r="F25" s="7" t="s">
        <v>1</v>
      </c>
      <c r="G25" s="9">
        <f t="shared" si="2"/>
        <v>6</v>
      </c>
      <c r="H25" s="7" t="s">
        <v>29</v>
      </c>
      <c r="I25" s="7" t="s">
        <v>29</v>
      </c>
      <c r="J25" s="11"/>
      <c r="K25" s="7" t="s">
        <v>28</v>
      </c>
      <c r="L25" s="7" t="s">
        <v>29</v>
      </c>
      <c r="M25" s="11"/>
      <c r="N25" s="7" t="s">
        <v>29</v>
      </c>
      <c r="O25" s="7" t="s">
        <v>28</v>
      </c>
      <c r="P25" s="7" t="s">
        <v>29</v>
      </c>
      <c r="Q25" s="11"/>
      <c r="R25" s="7" t="s">
        <v>29</v>
      </c>
      <c r="S25" s="12"/>
      <c r="T25" s="13"/>
      <c r="V25" s="4">
        <f t="shared" ref="V25:AH25" si="25">COUNTIF($F$2:$F25,V$1)</f>
        <v>0</v>
      </c>
      <c r="W25" s="4">
        <f t="shared" si="25"/>
        <v>5</v>
      </c>
      <c r="X25" s="4">
        <f t="shared" si="25"/>
        <v>0</v>
      </c>
      <c r="Y25" s="4">
        <f t="shared" si="25"/>
        <v>2</v>
      </c>
      <c r="Z25" s="4">
        <f t="shared" si="25"/>
        <v>3</v>
      </c>
      <c r="AA25" s="4">
        <f t="shared" si="25"/>
        <v>0</v>
      </c>
      <c r="AB25" s="4">
        <f t="shared" si="25"/>
        <v>4</v>
      </c>
      <c r="AC25" s="4">
        <f t="shared" si="25"/>
        <v>1</v>
      </c>
      <c r="AD25" s="4">
        <f t="shared" si="25"/>
        <v>6</v>
      </c>
      <c r="AE25" s="4">
        <f t="shared" si="25"/>
        <v>0</v>
      </c>
      <c r="AF25" s="4">
        <f t="shared" si="25"/>
        <v>2</v>
      </c>
      <c r="AG25" s="4">
        <f t="shared" si="25"/>
        <v>0</v>
      </c>
      <c r="AH25" s="4">
        <f t="shared" si="25"/>
        <v>0</v>
      </c>
    </row>
    <row r="26">
      <c r="A26" s="7">
        <v>25.0</v>
      </c>
      <c r="B26" s="8">
        <v>40605.0</v>
      </c>
      <c r="C26" s="7" t="s">
        <v>34</v>
      </c>
      <c r="D26" s="7" t="s">
        <v>28</v>
      </c>
      <c r="E26" s="7" t="s">
        <v>8</v>
      </c>
      <c r="F26" s="7" t="s">
        <v>3</v>
      </c>
      <c r="G26" s="9">
        <f t="shared" si="2"/>
        <v>8</v>
      </c>
      <c r="H26" s="7" t="s">
        <v>29</v>
      </c>
      <c r="I26" s="7" t="s">
        <v>29</v>
      </c>
      <c r="J26" s="11"/>
      <c r="K26" s="7" t="s">
        <v>29</v>
      </c>
      <c r="L26" s="7" t="s">
        <v>29</v>
      </c>
      <c r="M26" s="11"/>
      <c r="N26" s="7" t="s">
        <v>29</v>
      </c>
      <c r="O26" s="7" t="s">
        <v>29</v>
      </c>
      <c r="P26" s="7" t="s">
        <v>29</v>
      </c>
      <c r="Q26" s="11"/>
      <c r="R26" s="7" t="s">
        <v>29</v>
      </c>
      <c r="S26" s="12"/>
      <c r="T26" s="13"/>
      <c r="V26" s="4">
        <f t="shared" ref="V26:AH26" si="26">COUNTIF($F$2:$F26,V$1)</f>
        <v>0</v>
      </c>
      <c r="W26" s="4">
        <f t="shared" si="26"/>
        <v>5</v>
      </c>
      <c r="X26" s="4">
        <f t="shared" si="26"/>
        <v>0</v>
      </c>
      <c r="Y26" s="4">
        <f t="shared" si="26"/>
        <v>3</v>
      </c>
      <c r="Z26" s="4">
        <f t="shared" si="26"/>
        <v>3</v>
      </c>
      <c r="AA26" s="4">
        <f t="shared" si="26"/>
        <v>0</v>
      </c>
      <c r="AB26" s="4">
        <f t="shared" si="26"/>
        <v>4</v>
      </c>
      <c r="AC26" s="4">
        <f t="shared" si="26"/>
        <v>1</v>
      </c>
      <c r="AD26" s="4">
        <f t="shared" si="26"/>
        <v>6</v>
      </c>
      <c r="AE26" s="4">
        <f t="shared" si="26"/>
        <v>0</v>
      </c>
      <c r="AF26" s="4">
        <f t="shared" si="26"/>
        <v>2</v>
      </c>
      <c r="AG26" s="4">
        <f t="shared" si="26"/>
        <v>0</v>
      </c>
      <c r="AH26" s="4">
        <f t="shared" si="26"/>
        <v>0</v>
      </c>
    </row>
    <row r="27">
      <c r="A27" s="7">
        <v>26.0</v>
      </c>
      <c r="B27" s="8">
        <v>40621.0</v>
      </c>
      <c r="C27" s="7" t="s">
        <v>34</v>
      </c>
      <c r="D27" s="7" t="s">
        <v>29</v>
      </c>
      <c r="E27" s="7" t="s">
        <v>33</v>
      </c>
      <c r="F27" s="7" t="s">
        <v>8</v>
      </c>
      <c r="G27" s="9">
        <f t="shared" si="2"/>
        <v>6</v>
      </c>
      <c r="H27" s="7" t="s">
        <v>29</v>
      </c>
      <c r="I27" s="7" t="s">
        <v>29</v>
      </c>
      <c r="J27" s="11"/>
      <c r="K27" s="7" t="s">
        <v>29</v>
      </c>
      <c r="L27" s="7" t="s">
        <v>29</v>
      </c>
      <c r="M27" s="11"/>
      <c r="N27" s="7" t="s">
        <v>28</v>
      </c>
      <c r="O27" s="7" t="s">
        <v>29</v>
      </c>
      <c r="P27" s="7" t="s">
        <v>29</v>
      </c>
      <c r="Q27" s="11"/>
      <c r="R27" s="7" t="s">
        <v>28</v>
      </c>
      <c r="S27" s="12"/>
      <c r="T27" s="13"/>
      <c r="V27" s="4">
        <f t="shared" ref="V27:AH27" si="27">COUNTIF($F$2:$F27,V$1)</f>
        <v>0</v>
      </c>
      <c r="W27" s="4">
        <f t="shared" si="27"/>
        <v>5</v>
      </c>
      <c r="X27" s="4">
        <f t="shared" si="27"/>
        <v>0</v>
      </c>
      <c r="Y27" s="4">
        <f t="shared" si="27"/>
        <v>3</v>
      </c>
      <c r="Z27" s="4">
        <f t="shared" si="27"/>
        <v>3</v>
      </c>
      <c r="AA27" s="4">
        <f t="shared" si="27"/>
        <v>0</v>
      </c>
      <c r="AB27" s="4">
        <f t="shared" si="27"/>
        <v>4</v>
      </c>
      <c r="AC27" s="4">
        <f t="shared" si="27"/>
        <v>1</v>
      </c>
      <c r="AD27" s="4">
        <f t="shared" si="27"/>
        <v>7</v>
      </c>
      <c r="AE27" s="4">
        <f t="shared" si="27"/>
        <v>0</v>
      </c>
      <c r="AF27" s="4">
        <f t="shared" si="27"/>
        <v>2</v>
      </c>
      <c r="AG27" s="4">
        <f t="shared" si="27"/>
        <v>0</v>
      </c>
      <c r="AH27" s="4">
        <f t="shared" si="27"/>
        <v>0</v>
      </c>
    </row>
    <row r="28">
      <c r="A28" s="7">
        <v>27.0</v>
      </c>
      <c r="B28" s="8">
        <v>40654.0</v>
      </c>
      <c r="C28" s="7" t="s">
        <v>34</v>
      </c>
      <c r="D28" s="7" t="s">
        <v>29</v>
      </c>
      <c r="E28" s="7" t="s">
        <v>30</v>
      </c>
      <c r="F28" s="7" t="s">
        <v>7</v>
      </c>
      <c r="G28" s="9">
        <f t="shared" si="2"/>
        <v>6</v>
      </c>
      <c r="H28" s="7" t="s">
        <v>28</v>
      </c>
      <c r="I28" s="7" t="s">
        <v>28</v>
      </c>
      <c r="J28" s="11"/>
      <c r="K28" s="7" t="s">
        <v>29</v>
      </c>
      <c r="L28" s="7" t="s">
        <v>29</v>
      </c>
      <c r="M28" s="11"/>
      <c r="N28" s="7" t="s">
        <v>29</v>
      </c>
      <c r="O28" s="7" t="s">
        <v>29</v>
      </c>
      <c r="P28" s="7" t="s">
        <v>29</v>
      </c>
      <c r="Q28" s="11"/>
      <c r="R28" s="7" t="s">
        <v>29</v>
      </c>
      <c r="S28" s="12"/>
      <c r="T28" s="13"/>
      <c r="V28" s="4">
        <f t="shared" ref="V28:AH28" si="28">COUNTIF($F$2:$F28,V$1)</f>
        <v>0</v>
      </c>
      <c r="W28" s="4">
        <f t="shared" si="28"/>
        <v>5</v>
      </c>
      <c r="X28" s="4">
        <f t="shared" si="28"/>
        <v>0</v>
      </c>
      <c r="Y28" s="4">
        <f t="shared" si="28"/>
        <v>3</v>
      </c>
      <c r="Z28" s="4">
        <f t="shared" si="28"/>
        <v>3</v>
      </c>
      <c r="AA28" s="4">
        <f t="shared" si="28"/>
        <v>0</v>
      </c>
      <c r="AB28" s="4">
        <f t="shared" si="28"/>
        <v>4</v>
      </c>
      <c r="AC28" s="4">
        <f t="shared" si="28"/>
        <v>2</v>
      </c>
      <c r="AD28" s="4">
        <f t="shared" si="28"/>
        <v>7</v>
      </c>
      <c r="AE28" s="4">
        <f t="shared" si="28"/>
        <v>0</v>
      </c>
      <c r="AF28" s="4">
        <f t="shared" si="28"/>
        <v>2</v>
      </c>
      <c r="AG28" s="4">
        <f t="shared" si="28"/>
        <v>0</v>
      </c>
      <c r="AH28" s="4">
        <f t="shared" si="28"/>
        <v>0</v>
      </c>
    </row>
    <row r="29">
      <c r="A29" s="7">
        <v>28.0</v>
      </c>
      <c r="B29" s="8">
        <v>40671.0</v>
      </c>
      <c r="C29" s="7" t="s">
        <v>34</v>
      </c>
      <c r="D29" s="7" t="s">
        <v>29</v>
      </c>
      <c r="E29" s="7" t="s">
        <v>36</v>
      </c>
      <c r="F29" s="7" t="s">
        <v>3</v>
      </c>
      <c r="G29" s="9">
        <f t="shared" si="2"/>
        <v>4</v>
      </c>
      <c r="H29" s="7" t="s">
        <v>28</v>
      </c>
      <c r="I29" s="7" t="s">
        <v>28</v>
      </c>
      <c r="J29" s="11"/>
      <c r="K29" s="7" t="s">
        <v>29</v>
      </c>
      <c r="L29" s="7" t="s">
        <v>28</v>
      </c>
      <c r="M29" s="11"/>
      <c r="N29" s="7" t="s">
        <v>29</v>
      </c>
      <c r="O29" s="7" t="s">
        <v>28</v>
      </c>
      <c r="P29" s="7" t="s">
        <v>29</v>
      </c>
      <c r="Q29" s="11"/>
      <c r="R29" s="7" t="s">
        <v>29</v>
      </c>
      <c r="S29" s="12"/>
      <c r="T29" s="13"/>
      <c r="V29" s="4">
        <f t="shared" ref="V29:AH29" si="29">COUNTIF($F$2:$F29,V$1)</f>
        <v>0</v>
      </c>
      <c r="W29" s="4">
        <f t="shared" si="29"/>
        <v>5</v>
      </c>
      <c r="X29" s="4">
        <f t="shared" si="29"/>
        <v>0</v>
      </c>
      <c r="Y29" s="4">
        <f t="shared" si="29"/>
        <v>4</v>
      </c>
      <c r="Z29" s="4">
        <f t="shared" si="29"/>
        <v>3</v>
      </c>
      <c r="AA29" s="4">
        <f t="shared" si="29"/>
        <v>0</v>
      </c>
      <c r="AB29" s="4">
        <f t="shared" si="29"/>
        <v>4</v>
      </c>
      <c r="AC29" s="4">
        <f t="shared" si="29"/>
        <v>2</v>
      </c>
      <c r="AD29" s="4">
        <f t="shared" si="29"/>
        <v>7</v>
      </c>
      <c r="AE29" s="4">
        <f t="shared" si="29"/>
        <v>0</v>
      </c>
      <c r="AF29" s="4">
        <f t="shared" si="29"/>
        <v>2</v>
      </c>
      <c r="AG29" s="4">
        <f t="shared" si="29"/>
        <v>0</v>
      </c>
      <c r="AH29" s="4">
        <f t="shared" si="29"/>
        <v>0</v>
      </c>
    </row>
    <row r="30">
      <c r="A30" s="7">
        <v>29.0</v>
      </c>
      <c r="B30" s="8">
        <v>40695.0</v>
      </c>
      <c r="C30" s="7" t="s">
        <v>34</v>
      </c>
      <c r="D30" s="7" t="s">
        <v>28</v>
      </c>
      <c r="E30" s="7" t="s">
        <v>6</v>
      </c>
      <c r="F30" s="7" t="s">
        <v>1</v>
      </c>
      <c r="G30" s="9">
        <f t="shared" si="2"/>
        <v>5</v>
      </c>
      <c r="H30" s="7" t="s">
        <v>28</v>
      </c>
      <c r="I30" s="7" t="s">
        <v>29</v>
      </c>
      <c r="J30" s="11"/>
      <c r="K30" s="7" t="s">
        <v>28</v>
      </c>
      <c r="L30" s="7" t="s">
        <v>29</v>
      </c>
      <c r="M30" s="11"/>
      <c r="N30" s="7" t="s">
        <v>29</v>
      </c>
      <c r="O30" s="7" t="s">
        <v>28</v>
      </c>
      <c r="P30" s="7" t="s">
        <v>29</v>
      </c>
      <c r="Q30" s="11"/>
      <c r="R30" s="7" t="s">
        <v>29</v>
      </c>
      <c r="S30" s="12"/>
      <c r="T30" s="13"/>
      <c r="V30" s="4">
        <f t="shared" ref="V30:AH30" si="30">COUNTIF($F$2:$F30,V$1)</f>
        <v>0</v>
      </c>
      <c r="W30" s="4">
        <f t="shared" si="30"/>
        <v>6</v>
      </c>
      <c r="X30" s="4">
        <f t="shared" si="30"/>
        <v>0</v>
      </c>
      <c r="Y30" s="4">
        <f t="shared" si="30"/>
        <v>4</v>
      </c>
      <c r="Z30" s="4">
        <f t="shared" si="30"/>
        <v>3</v>
      </c>
      <c r="AA30" s="4">
        <f t="shared" si="30"/>
        <v>0</v>
      </c>
      <c r="AB30" s="4">
        <f t="shared" si="30"/>
        <v>4</v>
      </c>
      <c r="AC30" s="4">
        <f t="shared" si="30"/>
        <v>2</v>
      </c>
      <c r="AD30" s="4">
        <f t="shared" si="30"/>
        <v>7</v>
      </c>
      <c r="AE30" s="4">
        <f t="shared" si="30"/>
        <v>0</v>
      </c>
      <c r="AF30" s="4">
        <f t="shared" si="30"/>
        <v>2</v>
      </c>
      <c r="AG30" s="4">
        <f t="shared" si="30"/>
        <v>0</v>
      </c>
      <c r="AH30" s="4">
        <f t="shared" si="30"/>
        <v>0</v>
      </c>
    </row>
    <row r="31">
      <c r="A31" s="7">
        <v>30.0</v>
      </c>
      <c r="B31" s="8">
        <v>40759.0</v>
      </c>
      <c r="C31" s="7" t="s">
        <v>37</v>
      </c>
      <c r="D31" s="7" t="s">
        <v>28</v>
      </c>
      <c r="E31" s="7" t="s">
        <v>0</v>
      </c>
      <c r="F31" s="7" t="s">
        <v>4</v>
      </c>
      <c r="G31" s="9">
        <f t="shared" si="2"/>
        <v>7</v>
      </c>
      <c r="H31" s="7" t="s">
        <v>29</v>
      </c>
      <c r="I31" s="7" t="s">
        <v>29</v>
      </c>
      <c r="J31" s="11"/>
      <c r="K31" s="7" t="s">
        <v>28</v>
      </c>
      <c r="L31" s="7" t="s">
        <v>29</v>
      </c>
      <c r="M31" s="11"/>
      <c r="N31" s="7" t="s">
        <v>29</v>
      </c>
      <c r="O31" s="7" t="s">
        <v>29</v>
      </c>
      <c r="P31" s="7" t="s">
        <v>29</v>
      </c>
      <c r="Q31" s="11"/>
      <c r="R31" s="7" t="s">
        <v>29</v>
      </c>
      <c r="S31" s="12"/>
      <c r="T31" s="13"/>
      <c r="V31" s="4">
        <f t="shared" ref="V31:AH31" si="31">COUNTIF($F$2:$F31,V$1)</f>
        <v>0</v>
      </c>
      <c r="W31" s="4">
        <f t="shared" si="31"/>
        <v>6</v>
      </c>
      <c r="X31" s="4">
        <f t="shared" si="31"/>
        <v>0</v>
      </c>
      <c r="Y31" s="4">
        <f t="shared" si="31"/>
        <v>4</v>
      </c>
      <c r="Z31" s="4">
        <f t="shared" si="31"/>
        <v>4</v>
      </c>
      <c r="AA31" s="4">
        <f t="shared" si="31"/>
        <v>0</v>
      </c>
      <c r="AB31" s="4">
        <f t="shared" si="31"/>
        <v>4</v>
      </c>
      <c r="AC31" s="4">
        <f t="shared" si="31"/>
        <v>2</v>
      </c>
      <c r="AD31" s="4">
        <f t="shared" si="31"/>
        <v>7</v>
      </c>
      <c r="AE31" s="4">
        <f t="shared" si="31"/>
        <v>0</v>
      </c>
      <c r="AF31" s="4">
        <f t="shared" si="31"/>
        <v>2</v>
      </c>
      <c r="AG31" s="4">
        <f t="shared" si="31"/>
        <v>0</v>
      </c>
      <c r="AH31" s="4">
        <f t="shared" si="31"/>
        <v>0</v>
      </c>
    </row>
    <row r="32">
      <c r="A32" s="7">
        <v>31.0</v>
      </c>
      <c r="B32" s="8">
        <v>40800.0</v>
      </c>
      <c r="C32" s="7" t="s">
        <v>37</v>
      </c>
      <c r="D32" s="7" t="s">
        <v>28</v>
      </c>
      <c r="E32" s="7" t="s">
        <v>4</v>
      </c>
      <c r="F32" s="7" t="s">
        <v>10</v>
      </c>
      <c r="G32" s="9">
        <f t="shared" si="2"/>
        <v>7</v>
      </c>
      <c r="H32" s="7" t="s">
        <v>29</v>
      </c>
      <c r="I32" s="7" t="s">
        <v>29</v>
      </c>
      <c r="J32" s="11"/>
      <c r="K32" s="7" t="s">
        <v>29</v>
      </c>
      <c r="L32" s="7" t="s">
        <v>29</v>
      </c>
      <c r="M32" s="11"/>
      <c r="N32" s="7" t="s">
        <v>28</v>
      </c>
      <c r="O32" s="7" t="s">
        <v>29</v>
      </c>
      <c r="P32" s="7" t="s">
        <v>29</v>
      </c>
      <c r="Q32" s="11"/>
      <c r="R32" s="7" t="s">
        <v>29</v>
      </c>
      <c r="S32" s="12"/>
      <c r="T32" s="13"/>
      <c r="V32" s="4">
        <f t="shared" ref="V32:AH32" si="32">COUNTIF($F$2:$F32,V$1)</f>
        <v>0</v>
      </c>
      <c r="W32" s="4">
        <f t="shared" si="32"/>
        <v>6</v>
      </c>
      <c r="X32" s="4">
        <f t="shared" si="32"/>
        <v>0</v>
      </c>
      <c r="Y32" s="4">
        <f t="shared" si="32"/>
        <v>4</v>
      </c>
      <c r="Z32" s="4">
        <f t="shared" si="32"/>
        <v>4</v>
      </c>
      <c r="AA32" s="4">
        <f t="shared" si="32"/>
        <v>0</v>
      </c>
      <c r="AB32" s="4">
        <f t="shared" si="32"/>
        <v>4</v>
      </c>
      <c r="AC32" s="4">
        <f t="shared" si="32"/>
        <v>2</v>
      </c>
      <c r="AD32" s="4">
        <f t="shared" si="32"/>
        <v>7</v>
      </c>
      <c r="AE32" s="4">
        <f t="shared" si="32"/>
        <v>0</v>
      </c>
      <c r="AF32" s="4">
        <f t="shared" si="32"/>
        <v>3</v>
      </c>
      <c r="AG32" s="4">
        <f t="shared" si="32"/>
        <v>0</v>
      </c>
      <c r="AH32" s="4">
        <f t="shared" si="32"/>
        <v>0</v>
      </c>
    </row>
    <row r="33">
      <c r="A33" s="7">
        <v>32.0</v>
      </c>
      <c r="B33" s="8">
        <v>40815.0</v>
      </c>
      <c r="C33" s="7" t="s">
        <v>37</v>
      </c>
      <c r="D33" s="7" t="s">
        <v>28</v>
      </c>
      <c r="E33" s="7" t="s">
        <v>0</v>
      </c>
      <c r="F33" s="7" t="s">
        <v>7</v>
      </c>
      <c r="G33" s="9">
        <f t="shared" si="2"/>
        <v>6</v>
      </c>
      <c r="H33" s="7" t="s">
        <v>29</v>
      </c>
      <c r="I33" s="7" t="s">
        <v>29</v>
      </c>
      <c r="J33" s="11"/>
      <c r="K33" s="7" t="s">
        <v>29</v>
      </c>
      <c r="L33" s="7" t="s">
        <v>28</v>
      </c>
      <c r="M33" s="11"/>
      <c r="N33" s="7" t="s">
        <v>29</v>
      </c>
      <c r="O33" s="7" t="s">
        <v>29</v>
      </c>
      <c r="P33" s="7" t="s">
        <v>29</v>
      </c>
      <c r="Q33" s="11"/>
      <c r="R33" s="7" t="s">
        <v>28</v>
      </c>
      <c r="S33" s="12"/>
      <c r="T33" s="13"/>
      <c r="V33" s="4">
        <f t="shared" ref="V33:AH33" si="33">COUNTIF($F$2:$F33,V$1)</f>
        <v>0</v>
      </c>
      <c r="W33" s="4">
        <f t="shared" si="33"/>
        <v>6</v>
      </c>
      <c r="X33" s="4">
        <f t="shared" si="33"/>
        <v>0</v>
      </c>
      <c r="Y33" s="4">
        <f t="shared" si="33"/>
        <v>4</v>
      </c>
      <c r="Z33" s="4">
        <f t="shared" si="33"/>
        <v>4</v>
      </c>
      <c r="AA33" s="4">
        <f t="shared" si="33"/>
        <v>0</v>
      </c>
      <c r="AB33" s="4">
        <f t="shared" si="33"/>
        <v>4</v>
      </c>
      <c r="AC33" s="4">
        <f t="shared" si="33"/>
        <v>3</v>
      </c>
      <c r="AD33" s="4">
        <f t="shared" si="33"/>
        <v>7</v>
      </c>
      <c r="AE33" s="4">
        <f t="shared" si="33"/>
        <v>0</v>
      </c>
      <c r="AF33" s="4">
        <f t="shared" si="33"/>
        <v>3</v>
      </c>
      <c r="AG33" s="4">
        <f t="shared" si="33"/>
        <v>0</v>
      </c>
      <c r="AH33" s="4">
        <f t="shared" si="33"/>
        <v>0</v>
      </c>
    </row>
    <row r="34">
      <c r="A34" s="7">
        <v>33.0</v>
      </c>
      <c r="B34" s="8">
        <v>40857.0</v>
      </c>
      <c r="C34" s="7" t="s">
        <v>37</v>
      </c>
      <c r="D34" s="7" t="s">
        <v>28</v>
      </c>
      <c r="E34" s="7" t="s">
        <v>1</v>
      </c>
      <c r="F34" s="7" t="s">
        <v>8</v>
      </c>
      <c r="G34" s="9">
        <f t="shared" si="2"/>
        <v>6</v>
      </c>
      <c r="H34" s="7" t="s">
        <v>29</v>
      </c>
      <c r="I34" s="7" t="s">
        <v>29</v>
      </c>
      <c r="J34" s="11"/>
      <c r="K34" s="7" t="s">
        <v>29</v>
      </c>
      <c r="L34" s="7" t="s">
        <v>29</v>
      </c>
      <c r="M34" s="11"/>
      <c r="N34" s="7" t="s">
        <v>28</v>
      </c>
      <c r="O34" s="7" t="s">
        <v>29</v>
      </c>
      <c r="P34" s="7" t="s">
        <v>29</v>
      </c>
      <c r="Q34" s="11"/>
      <c r="R34" s="7" t="s">
        <v>28</v>
      </c>
      <c r="S34" s="12"/>
      <c r="T34" s="13"/>
      <c r="V34" s="4">
        <f t="shared" ref="V34:AH34" si="34">COUNTIF($F$2:$F34,V$1)</f>
        <v>0</v>
      </c>
      <c r="W34" s="4">
        <f t="shared" si="34"/>
        <v>6</v>
      </c>
      <c r="X34" s="4">
        <f t="shared" si="34"/>
        <v>0</v>
      </c>
      <c r="Y34" s="4">
        <f t="shared" si="34"/>
        <v>4</v>
      </c>
      <c r="Z34" s="4">
        <f t="shared" si="34"/>
        <v>4</v>
      </c>
      <c r="AA34" s="4">
        <f t="shared" si="34"/>
        <v>0</v>
      </c>
      <c r="AB34" s="4">
        <f t="shared" si="34"/>
        <v>4</v>
      </c>
      <c r="AC34" s="4">
        <f t="shared" si="34"/>
        <v>3</v>
      </c>
      <c r="AD34" s="4">
        <f t="shared" si="34"/>
        <v>8</v>
      </c>
      <c r="AE34" s="4">
        <f t="shared" si="34"/>
        <v>0</v>
      </c>
      <c r="AF34" s="4">
        <f t="shared" si="34"/>
        <v>3</v>
      </c>
      <c r="AG34" s="4">
        <f t="shared" si="34"/>
        <v>0</v>
      </c>
      <c r="AH34" s="4">
        <f t="shared" si="34"/>
        <v>0</v>
      </c>
    </row>
    <row r="35">
      <c r="A35" s="7">
        <v>34.0</v>
      </c>
      <c r="B35" s="8">
        <v>40885.0</v>
      </c>
      <c r="C35" s="7" t="s">
        <v>37</v>
      </c>
      <c r="D35" s="7" t="s">
        <v>28</v>
      </c>
      <c r="E35" s="7" t="s">
        <v>1</v>
      </c>
      <c r="F35" s="7" t="s">
        <v>6</v>
      </c>
      <c r="G35" s="9">
        <f t="shared" si="2"/>
        <v>8</v>
      </c>
      <c r="H35" s="7" t="s">
        <v>29</v>
      </c>
      <c r="I35" s="7" t="s">
        <v>29</v>
      </c>
      <c r="J35" s="11"/>
      <c r="K35" s="7" t="s">
        <v>29</v>
      </c>
      <c r="L35" s="7" t="s">
        <v>29</v>
      </c>
      <c r="M35" s="11"/>
      <c r="N35" s="7" t="s">
        <v>29</v>
      </c>
      <c r="O35" s="7" t="s">
        <v>29</v>
      </c>
      <c r="P35" s="7" t="s">
        <v>29</v>
      </c>
      <c r="Q35" s="11"/>
      <c r="R35" s="7" t="s">
        <v>29</v>
      </c>
      <c r="S35" s="12"/>
      <c r="T35" s="13"/>
      <c r="V35" s="4">
        <f t="shared" ref="V35:AH35" si="35">COUNTIF($F$2:$F35,V$1)</f>
        <v>0</v>
      </c>
      <c r="W35" s="4">
        <f t="shared" si="35"/>
        <v>6</v>
      </c>
      <c r="X35" s="4">
        <f t="shared" si="35"/>
        <v>0</v>
      </c>
      <c r="Y35" s="4">
        <f t="shared" si="35"/>
        <v>4</v>
      </c>
      <c r="Z35" s="4">
        <f t="shared" si="35"/>
        <v>4</v>
      </c>
      <c r="AA35" s="4">
        <f t="shared" si="35"/>
        <v>0</v>
      </c>
      <c r="AB35" s="4">
        <f t="shared" si="35"/>
        <v>5</v>
      </c>
      <c r="AC35" s="4">
        <f t="shared" si="35"/>
        <v>3</v>
      </c>
      <c r="AD35" s="4">
        <f t="shared" si="35"/>
        <v>8</v>
      </c>
      <c r="AE35" s="4">
        <f t="shared" si="35"/>
        <v>0</v>
      </c>
      <c r="AF35" s="4">
        <f t="shared" si="35"/>
        <v>3</v>
      </c>
      <c r="AG35" s="4">
        <f t="shared" si="35"/>
        <v>0</v>
      </c>
      <c r="AH35" s="4">
        <f t="shared" si="35"/>
        <v>0</v>
      </c>
    </row>
    <row r="36">
      <c r="A36" s="7">
        <v>35.0</v>
      </c>
      <c r="B36" s="8">
        <v>40907.0</v>
      </c>
      <c r="C36" s="7" t="s">
        <v>37</v>
      </c>
      <c r="D36" s="7" t="s">
        <v>29</v>
      </c>
      <c r="E36" s="7" t="s">
        <v>38</v>
      </c>
      <c r="F36" s="7" t="s">
        <v>7</v>
      </c>
      <c r="G36" s="9">
        <f t="shared" si="2"/>
        <v>6</v>
      </c>
      <c r="H36" s="7" t="s">
        <v>29</v>
      </c>
      <c r="I36" s="7" t="s">
        <v>29</v>
      </c>
      <c r="J36" s="11"/>
      <c r="K36" s="7" t="s">
        <v>29</v>
      </c>
      <c r="L36" s="7" t="s">
        <v>29</v>
      </c>
      <c r="M36" s="11"/>
      <c r="N36" s="7" t="s">
        <v>28</v>
      </c>
      <c r="O36" s="7" t="s">
        <v>29</v>
      </c>
      <c r="P36" s="7" t="s">
        <v>29</v>
      </c>
      <c r="Q36" s="11"/>
      <c r="R36" s="7" t="s">
        <v>28</v>
      </c>
      <c r="S36" s="12"/>
      <c r="T36" s="13"/>
      <c r="V36" s="4">
        <f t="shared" ref="V36:AH36" si="36">COUNTIF($F$2:$F36,V$1)</f>
        <v>0</v>
      </c>
      <c r="W36" s="4">
        <f t="shared" si="36"/>
        <v>6</v>
      </c>
      <c r="X36" s="4">
        <f t="shared" si="36"/>
        <v>0</v>
      </c>
      <c r="Y36" s="4">
        <f t="shared" si="36"/>
        <v>4</v>
      </c>
      <c r="Z36" s="4">
        <f t="shared" si="36"/>
        <v>4</v>
      </c>
      <c r="AA36" s="4">
        <f t="shared" si="36"/>
        <v>0</v>
      </c>
      <c r="AB36" s="4">
        <f t="shared" si="36"/>
        <v>5</v>
      </c>
      <c r="AC36" s="4">
        <f t="shared" si="36"/>
        <v>4</v>
      </c>
      <c r="AD36" s="4">
        <f t="shared" si="36"/>
        <v>8</v>
      </c>
      <c r="AE36" s="4">
        <f t="shared" si="36"/>
        <v>0</v>
      </c>
      <c r="AF36" s="4">
        <f t="shared" si="36"/>
        <v>3</v>
      </c>
      <c r="AG36" s="4">
        <f t="shared" si="36"/>
        <v>0</v>
      </c>
      <c r="AH36" s="4">
        <f t="shared" si="36"/>
        <v>0</v>
      </c>
    </row>
    <row r="37">
      <c r="A37" s="7">
        <v>36.0</v>
      </c>
      <c r="B37" s="8">
        <v>40934.0</v>
      </c>
      <c r="C37" s="7" t="s">
        <v>37</v>
      </c>
      <c r="D37" s="7" t="s">
        <v>28</v>
      </c>
      <c r="E37" s="7" t="s">
        <v>8</v>
      </c>
      <c r="F37" s="7" t="s">
        <v>8</v>
      </c>
      <c r="G37" s="9">
        <f t="shared" si="2"/>
        <v>7</v>
      </c>
      <c r="H37" s="7" t="s">
        <v>29</v>
      </c>
      <c r="I37" s="7" t="s">
        <v>29</v>
      </c>
      <c r="J37" s="11"/>
      <c r="K37" s="7" t="s">
        <v>29</v>
      </c>
      <c r="L37" s="7" t="s">
        <v>29</v>
      </c>
      <c r="M37" s="11"/>
      <c r="N37" s="7" t="s">
        <v>28</v>
      </c>
      <c r="O37" s="7" t="s">
        <v>29</v>
      </c>
      <c r="P37" s="7" t="s">
        <v>29</v>
      </c>
      <c r="Q37" s="11"/>
      <c r="R37" s="7" t="s">
        <v>29</v>
      </c>
      <c r="S37" s="12"/>
      <c r="T37" s="13"/>
      <c r="V37" s="4">
        <f t="shared" ref="V37:AH37" si="37">COUNTIF($F$2:$F37,V$1)</f>
        <v>0</v>
      </c>
      <c r="W37" s="4">
        <f t="shared" si="37"/>
        <v>6</v>
      </c>
      <c r="X37" s="4">
        <f t="shared" si="37"/>
        <v>0</v>
      </c>
      <c r="Y37" s="4">
        <f t="shared" si="37"/>
        <v>4</v>
      </c>
      <c r="Z37" s="4">
        <f t="shared" si="37"/>
        <v>4</v>
      </c>
      <c r="AA37" s="4">
        <f t="shared" si="37"/>
        <v>0</v>
      </c>
      <c r="AB37" s="4">
        <f t="shared" si="37"/>
        <v>5</v>
      </c>
      <c r="AC37" s="4">
        <f t="shared" si="37"/>
        <v>4</v>
      </c>
      <c r="AD37" s="4">
        <f t="shared" si="37"/>
        <v>9</v>
      </c>
      <c r="AE37" s="4">
        <f t="shared" si="37"/>
        <v>0</v>
      </c>
      <c r="AF37" s="4">
        <f t="shared" si="37"/>
        <v>3</v>
      </c>
      <c r="AG37" s="4">
        <f t="shared" si="37"/>
        <v>0</v>
      </c>
      <c r="AH37" s="4">
        <f t="shared" si="37"/>
        <v>0</v>
      </c>
    </row>
    <row r="38">
      <c r="A38" s="7">
        <v>37.0</v>
      </c>
      <c r="B38" s="8">
        <v>40948.0</v>
      </c>
      <c r="C38" s="7" t="s">
        <v>37</v>
      </c>
      <c r="D38" s="7" t="s">
        <v>28</v>
      </c>
      <c r="E38" s="7" t="s">
        <v>0</v>
      </c>
      <c r="F38" s="7" t="s">
        <v>7</v>
      </c>
      <c r="G38" s="9">
        <f t="shared" si="2"/>
        <v>7</v>
      </c>
      <c r="H38" s="7" t="s">
        <v>29</v>
      </c>
      <c r="I38" s="7" t="s">
        <v>29</v>
      </c>
      <c r="J38" s="11"/>
      <c r="K38" s="7" t="s">
        <v>29</v>
      </c>
      <c r="L38" s="7" t="s">
        <v>29</v>
      </c>
      <c r="M38" s="11"/>
      <c r="N38" s="7" t="s">
        <v>28</v>
      </c>
      <c r="O38" s="7" t="s">
        <v>29</v>
      </c>
      <c r="P38" s="7" t="s">
        <v>29</v>
      </c>
      <c r="Q38" s="11"/>
      <c r="R38" s="7" t="s">
        <v>29</v>
      </c>
      <c r="S38" s="12"/>
      <c r="T38" s="13"/>
      <c r="V38" s="4">
        <f t="shared" ref="V38:AH38" si="38">COUNTIF($F$2:$F38,V$1)</f>
        <v>0</v>
      </c>
      <c r="W38" s="4">
        <f t="shared" si="38"/>
        <v>6</v>
      </c>
      <c r="X38" s="4">
        <f t="shared" si="38"/>
        <v>0</v>
      </c>
      <c r="Y38" s="4">
        <f t="shared" si="38"/>
        <v>4</v>
      </c>
      <c r="Z38" s="4">
        <f t="shared" si="38"/>
        <v>4</v>
      </c>
      <c r="AA38" s="4">
        <f t="shared" si="38"/>
        <v>0</v>
      </c>
      <c r="AB38" s="4">
        <f t="shared" si="38"/>
        <v>5</v>
      </c>
      <c r="AC38" s="4">
        <f t="shared" si="38"/>
        <v>5</v>
      </c>
      <c r="AD38" s="4">
        <f t="shared" si="38"/>
        <v>9</v>
      </c>
      <c r="AE38" s="4">
        <f t="shared" si="38"/>
        <v>0</v>
      </c>
      <c r="AF38" s="4">
        <f t="shared" si="38"/>
        <v>3</v>
      </c>
      <c r="AG38" s="4">
        <f t="shared" si="38"/>
        <v>0</v>
      </c>
      <c r="AH38" s="4">
        <f t="shared" si="38"/>
        <v>0</v>
      </c>
    </row>
    <row r="39">
      <c r="A39" s="7">
        <v>38.0</v>
      </c>
      <c r="B39" s="8">
        <v>40985.0</v>
      </c>
      <c r="C39" s="7" t="s">
        <v>37</v>
      </c>
      <c r="D39" s="7" t="s">
        <v>29</v>
      </c>
      <c r="E39" s="7" t="s">
        <v>33</v>
      </c>
      <c r="F39" s="7" t="s">
        <v>4</v>
      </c>
      <c r="G39" s="9">
        <f t="shared" si="2"/>
        <v>5</v>
      </c>
      <c r="H39" s="7" t="s">
        <v>29</v>
      </c>
      <c r="I39" s="7" t="s">
        <v>28</v>
      </c>
      <c r="J39" s="11"/>
      <c r="K39" s="7" t="s">
        <v>28</v>
      </c>
      <c r="L39" s="7" t="s">
        <v>29</v>
      </c>
      <c r="M39" s="11"/>
      <c r="N39" s="7" t="s">
        <v>28</v>
      </c>
      <c r="O39" s="7" t="s">
        <v>29</v>
      </c>
      <c r="P39" s="7" t="s">
        <v>29</v>
      </c>
      <c r="Q39" s="11"/>
      <c r="R39" s="7" t="s">
        <v>29</v>
      </c>
      <c r="S39" s="12"/>
      <c r="T39" s="13"/>
      <c r="V39" s="4">
        <f t="shared" ref="V39:AH39" si="39">COUNTIF($F$2:$F39,V$1)</f>
        <v>0</v>
      </c>
      <c r="W39" s="4">
        <f t="shared" si="39"/>
        <v>6</v>
      </c>
      <c r="X39" s="4">
        <f t="shared" si="39"/>
        <v>0</v>
      </c>
      <c r="Y39" s="4">
        <f t="shared" si="39"/>
        <v>4</v>
      </c>
      <c r="Z39" s="4">
        <f t="shared" si="39"/>
        <v>5</v>
      </c>
      <c r="AA39" s="4">
        <f t="shared" si="39"/>
        <v>0</v>
      </c>
      <c r="AB39" s="4">
        <f t="shared" si="39"/>
        <v>5</v>
      </c>
      <c r="AC39" s="4">
        <f t="shared" si="39"/>
        <v>5</v>
      </c>
      <c r="AD39" s="4">
        <f t="shared" si="39"/>
        <v>9</v>
      </c>
      <c r="AE39" s="4">
        <f t="shared" si="39"/>
        <v>0</v>
      </c>
      <c r="AF39" s="4">
        <f t="shared" si="39"/>
        <v>3</v>
      </c>
      <c r="AG39" s="4">
        <f t="shared" si="39"/>
        <v>0</v>
      </c>
      <c r="AH39" s="4">
        <f t="shared" si="39"/>
        <v>0</v>
      </c>
    </row>
    <row r="40">
      <c r="A40" s="7">
        <v>39.0</v>
      </c>
      <c r="B40" s="8">
        <v>41004.0</v>
      </c>
      <c r="C40" s="7" t="s">
        <v>37</v>
      </c>
      <c r="D40" s="7" t="s">
        <v>29</v>
      </c>
      <c r="E40" s="7" t="s">
        <v>30</v>
      </c>
      <c r="F40" s="7" t="s">
        <v>4</v>
      </c>
      <c r="G40" s="9">
        <f t="shared" si="2"/>
        <v>7</v>
      </c>
      <c r="H40" s="7" t="s">
        <v>29</v>
      </c>
      <c r="I40" s="7" t="s">
        <v>29</v>
      </c>
      <c r="J40" s="11"/>
      <c r="K40" s="7" t="s">
        <v>29</v>
      </c>
      <c r="L40" s="7" t="s">
        <v>29</v>
      </c>
      <c r="M40" s="11"/>
      <c r="N40" s="7" t="s">
        <v>28</v>
      </c>
      <c r="O40" s="7" t="s">
        <v>29</v>
      </c>
      <c r="P40" s="7" t="s">
        <v>29</v>
      </c>
      <c r="Q40" s="11"/>
      <c r="R40" s="7" t="s">
        <v>29</v>
      </c>
      <c r="S40" s="12"/>
      <c r="T40" s="13"/>
      <c r="V40" s="4">
        <f t="shared" ref="V40:AH40" si="40">COUNTIF($F$2:$F40,V$1)</f>
        <v>0</v>
      </c>
      <c r="W40" s="4">
        <f t="shared" si="40"/>
        <v>6</v>
      </c>
      <c r="X40" s="4">
        <f t="shared" si="40"/>
        <v>0</v>
      </c>
      <c r="Y40" s="4">
        <f t="shared" si="40"/>
        <v>4</v>
      </c>
      <c r="Z40" s="4">
        <f t="shared" si="40"/>
        <v>6</v>
      </c>
      <c r="AA40" s="4">
        <f t="shared" si="40"/>
        <v>0</v>
      </c>
      <c r="AB40" s="4">
        <f t="shared" si="40"/>
        <v>5</v>
      </c>
      <c r="AC40" s="4">
        <f t="shared" si="40"/>
        <v>5</v>
      </c>
      <c r="AD40" s="4">
        <f t="shared" si="40"/>
        <v>9</v>
      </c>
      <c r="AE40" s="4">
        <f t="shared" si="40"/>
        <v>0</v>
      </c>
      <c r="AF40" s="4">
        <f t="shared" si="40"/>
        <v>3</v>
      </c>
      <c r="AG40" s="4">
        <f t="shared" si="40"/>
        <v>0</v>
      </c>
      <c r="AH40" s="4">
        <f t="shared" si="40"/>
        <v>0</v>
      </c>
    </row>
    <row r="41">
      <c r="A41" s="7">
        <v>40.0</v>
      </c>
      <c r="B41" s="8">
        <v>41032.0</v>
      </c>
      <c r="C41" s="7" t="s">
        <v>37</v>
      </c>
      <c r="D41" s="7" t="s">
        <v>28</v>
      </c>
      <c r="E41" s="7" t="s">
        <v>4</v>
      </c>
      <c r="F41" s="7" t="s">
        <v>7</v>
      </c>
      <c r="G41" s="9">
        <f t="shared" si="2"/>
        <v>7</v>
      </c>
      <c r="H41" s="7" t="s">
        <v>29</v>
      </c>
      <c r="I41" s="7" t="s">
        <v>29</v>
      </c>
      <c r="J41" s="11"/>
      <c r="K41" s="7" t="s">
        <v>29</v>
      </c>
      <c r="L41" s="7" t="s">
        <v>29</v>
      </c>
      <c r="M41" s="11"/>
      <c r="N41" s="7" t="s">
        <v>28</v>
      </c>
      <c r="O41" s="7" t="s">
        <v>29</v>
      </c>
      <c r="P41" s="7" t="s">
        <v>29</v>
      </c>
      <c r="Q41" s="11"/>
      <c r="R41" s="7" t="s">
        <v>29</v>
      </c>
      <c r="S41" s="12"/>
      <c r="T41" s="13"/>
      <c r="V41" s="4">
        <f t="shared" ref="V41:AH41" si="41">COUNTIF($F$2:$F41,V$1)</f>
        <v>0</v>
      </c>
      <c r="W41" s="4">
        <f t="shared" si="41"/>
        <v>6</v>
      </c>
      <c r="X41" s="4">
        <f t="shared" si="41"/>
        <v>0</v>
      </c>
      <c r="Y41" s="4">
        <f t="shared" si="41"/>
        <v>4</v>
      </c>
      <c r="Z41" s="4">
        <f t="shared" si="41"/>
        <v>6</v>
      </c>
      <c r="AA41" s="4">
        <f t="shared" si="41"/>
        <v>0</v>
      </c>
      <c r="AB41" s="4">
        <f t="shared" si="41"/>
        <v>5</v>
      </c>
      <c r="AC41" s="4">
        <f t="shared" si="41"/>
        <v>6</v>
      </c>
      <c r="AD41" s="4">
        <f t="shared" si="41"/>
        <v>9</v>
      </c>
      <c r="AE41" s="4">
        <f t="shared" si="41"/>
        <v>0</v>
      </c>
      <c r="AF41" s="4">
        <f t="shared" si="41"/>
        <v>3</v>
      </c>
      <c r="AG41" s="4">
        <f t="shared" si="41"/>
        <v>0</v>
      </c>
      <c r="AH41" s="4">
        <f t="shared" si="41"/>
        <v>0</v>
      </c>
    </row>
    <row r="42">
      <c r="A42" s="7">
        <v>41.0</v>
      </c>
      <c r="B42" s="8">
        <v>41087.0</v>
      </c>
      <c r="C42" s="7" t="s">
        <v>37</v>
      </c>
      <c r="D42" s="7" t="s">
        <v>28</v>
      </c>
      <c r="E42" s="7" t="s">
        <v>0</v>
      </c>
      <c r="F42" s="7" t="s">
        <v>8</v>
      </c>
      <c r="G42" s="9">
        <f t="shared" si="2"/>
        <v>6</v>
      </c>
      <c r="H42" s="7" t="s">
        <v>29</v>
      </c>
      <c r="I42" s="7" t="s">
        <v>28</v>
      </c>
      <c r="J42" s="11"/>
      <c r="K42" s="7" t="s">
        <v>29</v>
      </c>
      <c r="L42" s="7" t="s">
        <v>29</v>
      </c>
      <c r="M42" s="11"/>
      <c r="N42" s="7" t="s">
        <v>28</v>
      </c>
      <c r="O42" s="7" t="s">
        <v>29</v>
      </c>
      <c r="P42" s="7" t="s">
        <v>29</v>
      </c>
      <c r="Q42" s="11"/>
      <c r="R42" s="7" t="s">
        <v>29</v>
      </c>
      <c r="S42" s="12"/>
      <c r="T42" s="13"/>
      <c r="V42" s="4">
        <f t="shared" ref="V42:AH42" si="42">COUNTIF($F$2:$F42,V$1)</f>
        <v>0</v>
      </c>
      <c r="W42" s="4">
        <f t="shared" si="42"/>
        <v>6</v>
      </c>
      <c r="X42" s="4">
        <f t="shared" si="42"/>
        <v>0</v>
      </c>
      <c r="Y42" s="4">
        <f t="shared" si="42"/>
        <v>4</v>
      </c>
      <c r="Z42" s="4">
        <f t="shared" si="42"/>
        <v>6</v>
      </c>
      <c r="AA42" s="4">
        <f t="shared" si="42"/>
        <v>0</v>
      </c>
      <c r="AB42" s="4">
        <f t="shared" si="42"/>
        <v>5</v>
      </c>
      <c r="AC42" s="4">
        <f t="shared" si="42"/>
        <v>6</v>
      </c>
      <c r="AD42" s="4">
        <f t="shared" si="42"/>
        <v>10</v>
      </c>
      <c r="AE42" s="4">
        <f t="shared" si="42"/>
        <v>0</v>
      </c>
      <c r="AF42" s="4">
        <f t="shared" si="42"/>
        <v>3</v>
      </c>
      <c r="AG42" s="4">
        <f t="shared" si="42"/>
        <v>0</v>
      </c>
      <c r="AH42" s="4">
        <f t="shared" si="42"/>
        <v>0</v>
      </c>
    </row>
    <row r="43">
      <c r="A43" s="7">
        <v>42.0</v>
      </c>
      <c r="B43" s="8">
        <v>41135.0</v>
      </c>
      <c r="C43" s="7" t="s">
        <v>39</v>
      </c>
      <c r="D43" s="7" t="s">
        <v>28</v>
      </c>
      <c r="E43" s="7" t="s">
        <v>8</v>
      </c>
      <c r="F43" s="7" t="s">
        <v>10</v>
      </c>
      <c r="G43" s="9">
        <f t="shared" si="2"/>
        <v>7</v>
      </c>
      <c r="H43" s="7" t="s">
        <v>29</v>
      </c>
      <c r="I43" s="7" t="s">
        <v>28</v>
      </c>
      <c r="J43" s="11"/>
      <c r="K43" s="7" t="s">
        <v>29</v>
      </c>
      <c r="L43" s="7" t="s">
        <v>29</v>
      </c>
      <c r="M43" s="11"/>
      <c r="N43" s="7" t="s">
        <v>29</v>
      </c>
      <c r="O43" s="7" t="s">
        <v>29</v>
      </c>
      <c r="P43" s="7" t="s">
        <v>29</v>
      </c>
      <c r="Q43" s="11"/>
      <c r="R43" s="7" t="s">
        <v>29</v>
      </c>
      <c r="S43" s="12"/>
      <c r="T43" s="13"/>
      <c r="V43" s="4">
        <f t="shared" ref="V43:AH43" si="43">COUNTIF($F$2:$F43,V$1)</f>
        <v>0</v>
      </c>
      <c r="W43" s="4">
        <f t="shared" si="43"/>
        <v>6</v>
      </c>
      <c r="X43" s="4">
        <f t="shared" si="43"/>
        <v>0</v>
      </c>
      <c r="Y43" s="4">
        <f t="shared" si="43"/>
        <v>4</v>
      </c>
      <c r="Z43" s="4">
        <f t="shared" si="43"/>
        <v>6</v>
      </c>
      <c r="AA43" s="4">
        <f t="shared" si="43"/>
        <v>0</v>
      </c>
      <c r="AB43" s="4">
        <f t="shared" si="43"/>
        <v>5</v>
      </c>
      <c r="AC43" s="4">
        <f t="shared" si="43"/>
        <v>6</v>
      </c>
      <c r="AD43" s="4">
        <f t="shared" si="43"/>
        <v>10</v>
      </c>
      <c r="AE43" s="4">
        <f t="shared" si="43"/>
        <v>0</v>
      </c>
      <c r="AF43" s="4">
        <f t="shared" si="43"/>
        <v>4</v>
      </c>
      <c r="AG43" s="4">
        <f t="shared" si="43"/>
        <v>0</v>
      </c>
      <c r="AH43" s="4">
        <f t="shared" si="43"/>
        <v>0</v>
      </c>
    </row>
    <row r="44">
      <c r="A44" s="7">
        <v>43.0</v>
      </c>
      <c r="B44" s="8">
        <v>41163.0</v>
      </c>
      <c r="C44" s="7" t="s">
        <v>39</v>
      </c>
      <c r="D44" s="7" t="s">
        <v>28</v>
      </c>
      <c r="E44" s="7" t="s">
        <v>1</v>
      </c>
      <c r="F44" s="7" t="s">
        <v>4</v>
      </c>
      <c r="G44" s="9">
        <f t="shared" si="2"/>
        <v>5</v>
      </c>
      <c r="H44" s="7" t="s">
        <v>29</v>
      </c>
      <c r="I44" s="7" t="s">
        <v>29</v>
      </c>
      <c r="J44" s="11"/>
      <c r="K44" s="7" t="s">
        <v>28</v>
      </c>
      <c r="L44" s="7" t="s">
        <v>29</v>
      </c>
      <c r="M44" s="11"/>
      <c r="N44" s="7" t="s">
        <v>28</v>
      </c>
      <c r="O44" s="7" t="s">
        <v>29</v>
      </c>
      <c r="P44" s="7" t="s">
        <v>29</v>
      </c>
      <c r="Q44" s="11"/>
      <c r="R44" s="7" t="s">
        <v>28</v>
      </c>
      <c r="S44" s="12"/>
      <c r="T44" s="13"/>
      <c r="V44" s="4">
        <f t="shared" ref="V44:AH44" si="44">COUNTIF($F$2:$F44,V$1)</f>
        <v>0</v>
      </c>
      <c r="W44" s="4">
        <f t="shared" si="44"/>
        <v>6</v>
      </c>
      <c r="X44" s="4">
        <f t="shared" si="44"/>
        <v>0</v>
      </c>
      <c r="Y44" s="4">
        <f t="shared" si="44"/>
        <v>4</v>
      </c>
      <c r="Z44" s="4">
        <f t="shared" si="44"/>
        <v>7</v>
      </c>
      <c r="AA44" s="4">
        <f t="shared" si="44"/>
        <v>0</v>
      </c>
      <c r="AB44" s="4">
        <f t="shared" si="44"/>
        <v>5</v>
      </c>
      <c r="AC44" s="4">
        <f t="shared" si="44"/>
        <v>6</v>
      </c>
      <c r="AD44" s="4">
        <f t="shared" si="44"/>
        <v>10</v>
      </c>
      <c r="AE44" s="4">
        <f t="shared" si="44"/>
        <v>0</v>
      </c>
      <c r="AF44" s="4">
        <f t="shared" si="44"/>
        <v>4</v>
      </c>
      <c r="AG44" s="4">
        <f t="shared" si="44"/>
        <v>0</v>
      </c>
      <c r="AH44" s="4">
        <f t="shared" si="44"/>
        <v>0</v>
      </c>
    </row>
    <row r="45">
      <c r="A45" s="7">
        <v>44.0</v>
      </c>
      <c r="B45" s="8">
        <v>41194.0</v>
      </c>
      <c r="C45" s="7" t="s">
        <v>39</v>
      </c>
      <c r="D45" s="7" t="s">
        <v>28</v>
      </c>
      <c r="E45" s="7" t="s">
        <v>10</v>
      </c>
      <c r="F45" s="7" t="s">
        <v>8</v>
      </c>
      <c r="G45" s="9">
        <f t="shared" si="2"/>
        <v>6</v>
      </c>
      <c r="H45" s="7" t="s">
        <v>28</v>
      </c>
      <c r="I45" s="7" t="s">
        <v>29</v>
      </c>
      <c r="J45" s="11"/>
      <c r="K45" s="7" t="s">
        <v>29</v>
      </c>
      <c r="L45" s="7" t="s">
        <v>29</v>
      </c>
      <c r="M45" s="11"/>
      <c r="N45" s="7" t="s">
        <v>29</v>
      </c>
      <c r="O45" s="7" t="s">
        <v>28</v>
      </c>
      <c r="P45" s="7" t="s">
        <v>29</v>
      </c>
      <c r="Q45" s="11"/>
      <c r="R45" s="7" t="s">
        <v>29</v>
      </c>
      <c r="S45" s="12"/>
      <c r="T45" s="13"/>
      <c r="V45" s="4">
        <f t="shared" ref="V45:AH45" si="45">COUNTIF($F$2:$F45,V$1)</f>
        <v>0</v>
      </c>
      <c r="W45" s="4">
        <f t="shared" si="45"/>
        <v>6</v>
      </c>
      <c r="X45" s="4">
        <f t="shared" si="45"/>
        <v>0</v>
      </c>
      <c r="Y45" s="4">
        <f t="shared" si="45"/>
        <v>4</v>
      </c>
      <c r="Z45" s="4">
        <f t="shared" si="45"/>
        <v>7</v>
      </c>
      <c r="AA45" s="4">
        <f t="shared" si="45"/>
        <v>0</v>
      </c>
      <c r="AB45" s="4">
        <f t="shared" si="45"/>
        <v>5</v>
      </c>
      <c r="AC45" s="4">
        <f t="shared" si="45"/>
        <v>6</v>
      </c>
      <c r="AD45" s="4">
        <f t="shared" si="45"/>
        <v>11</v>
      </c>
      <c r="AE45" s="4">
        <f t="shared" si="45"/>
        <v>0</v>
      </c>
      <c r="AF45" s="4">
        <f t="shared" si="45"/>
        <v>4</v>
      </c>
      <c r="AG45" s="4">
        <f t="shared" si="45"/>
        <v>0</v>
      </c>
      <c r="AH45" s="4">
        <f t="shared" si="45"/>
        <v>0</v>
      </c>
    </row>
    <row r="46">
      <c r="A46" s="7">
        <v>45.0</v>
      </c>
      <c r="B46" s="8">
        <v>41227.0</v>
      </c>
      <c r="C46" s="7" t="s">
        <v>39</v>
      </c>
      <c r="D46" s="7" t="s">
        <v>28</v>
      </c>
      <c r="E46" s="7" t="s">
        <v>8</v>
      </c>
      <c r="F46" s="7" t="s">
        <v>6</v>
      </c>
      <c r="G46" s="9">
        <f t="shared" si="2"/>
        <v>7</v>
      </c>
      <c r="H46" s="7" t="s">
        <v>29</v>
      </c>
      <c r="I46" s="7" t="s">
        <v>29</v>
      </c>
      <c r="J46" s="11"/>
      <c r="K46" s="7" t="s">
        <v>29</v>
      </c>
      <c r="L46" s="7" t="s">
        <v>29</v>
      </c>
      <c r="M46" s="11"/>
      <c r="N46" s="7" t="s">
        <v>29</v>
      </c>
      <c r="O46" s="7" t="s">
        <v>29</v>
      </c>
      <c r="P46" s="7" t="s">
        <v>28</v>
      </c>
      <c r="Q46" s="11"/>
      <c r="R46" s="7" t="s">
        <v>29</v>
      </c>
      <c r="S46" s="12"/>
      <c r="T46" s="13"/>
      <c r="V46" s="4">
        <f t="shared" ref="V46:AH46" si="46">COUNTIF($F$2:$F46,V$1)</f>
        <v>0</v>
      </c>
      <c r="W46" s="4">
        <f t="shared" si="46"/>
        <v>6</v>
      </c>
      <c r="X46" s="4">
        <f t="shared" si="46"/>
        <v>0</v>
      </c>
      <c r="Y46" s="4">
        <f t="shared" si="46"/>
        <v>4</v>
      </c>
      <c r="Z46" s="4">
        <f t="shared" si="46"/>
        <v>7</v>
      </c>
      <c r="AA46" s="4">
        <f t="shared" si="46"/>
        <v>0</v>
      </c>
      <c r="AB46" s="4">
        <f t="shared" si="46"/>
        <v>6</v>
      </c>
      <c r="AC46" s="4">
        <f t="shared" si="46"/>
        <v>6</v>
      </c>
      <c r="AD46" s="4">
        <f t="shared" si="46"/>
        <v>11</v>
      </c>
      <c r="AE46" s="4">
        <f t="shared" si="46"/>
        <v>0</v>
      </c>
      <c r="AF46" s="4">
        <f t="shared" si="46"/>
        <v>4</v>
      </c>
      <c r="AG46" s="4">
        <f t="shared" si="46"/>
        <v>0</v>
      </c>
      <c r="AH46" s="4">
        <f t="shared" si="46"/>
        <v>0</v>
      </c>
    </row>
    <row r="47">
      <c r="A47" s="7">
        <v>46.0</v>
      </c>
      <c r="B47" s="8">
        <v>41273.0</v>
      </c>
      <c r="C47" s="7" t="s">
        <v>39</v>
      </c>
      <c r="D47" s="7" t="s">
        <v>29</v>
      </c>
      <c r="E47" s="7" t="s">
        <v>38</v>
      </c>
      <c r="F47" s="7" t="s">
        <v>1</v>
      </c>
      <c r="G47" s="9">
        <f t="shared" si="2"/>
        <v>7</v>
      </c>
      <c r="H47" s="7" t="s">
        <v>29</v>
      </c>
      <c r="I47" s="7" t="s">
        <v>29</v>
      </c>
      <c r="J47" s="11"/>
      <c r="K47" s="7" t="s">
        <v>29</v>
      </c>
      <c r="L47" s="7" t="s">
        <v>29</v>
      </c>
      <c r="M47" s="11"/>
      <c r="N47" s="7" t="s">
        <v>29</v>
      </c>
      <c r="O47" s="7" t="s">
        <v>29</v>
      </c>
      <c r="P47" s="7" t="s">
        <v>29</v>
      </c>
      <c r="Q47" s="14"/>
      <c r="R47" s="7" t="s">
        <v>28</v>
      </c>
      <c r="S47" s="12"/>
      <c r="T47" s="13"/>
      <c r="V47" s="4">
        <f t="shared" ref="V47:AH47" si="47">COUNTIF($F$2:$F47,V$1)</f>
        <v>0</v>
      </c>
      <c r="W47" s="4">
        <f t="shared" si="47"/>
        <v>7</v>
      </c>
      <c r="X47" s="4">
        <f t="shared" si="47"/>
        <v>0</v>
      </c>
      <c r="Y47" s="4">
        <f t="shared" si="47"/>
        <v>4</v>
      </c>
      <c r="Z47" s="4">
        <f t="shared" si="47"/>
        <v>7</v>
      </c>
      <c r="AA47" s="4">
        <f t="shared" si="47"/>
        <v>0</v>
      </c>
      <c r="AB47" s="4">
        <f t="shared" si="47"/>
        <v>6</v>
      </c>
      <c r="AC47" s="4">
        <f t="shared" si="47"/>
        <v>6</v>
      </c>
      <c r="AD47" s="4">
        <f t="shared" si="47"/>
        <v>11</v>
      </c>
      <c r="AE47" s="4">
        <f t="shared" si="47"/>
        <v>0</v>
      </c>
      <c r="AF47" s="4">
        <f t="shared" si="47"/>
        <v>4</v>
      </c>
      <c r="AG47" s="4">
        <f t="shared" si="47"/>
        <v>0</v>
      </c>
      <c r="AH47" s="4">
        <f t="shared" si="47"/>
        <v>0</v>
      </c>
    </row>
    <row r="48">
      <c r="A48" s="7">
        <v>47.0</v>
      </c>
      <c r="B48" s="8">
        <v>41291.0</v>
      </c>
      <c r="C48" s="7" t="s">
        <v>39</v>
      </c>
      <c r="D48" s="7" t="s">
        <v>28</v>
      </c>
      <c r="E48" s="7" t="s">
        <v>0</v>
      </c>
      <c r="F48" s="7" t="s">
        <v>8</v>
      </c>
      <c r="G48" s="9">
        <f t="shared" si="2"/>
        <v>7</v>
      </c>
      <c r="H48" s="7" t="s">
        <v>29</v>
      </c>
      <c r="I48" s="7" t="s">
        <v>29</v>
      </c>
      <c r="J48" s="11"/>
      <c r="K48" s="7" t="s">
        <v>29</v>
      </c>
      <c r="L48" s="7" t="s">
        <v>29</v>
      </c>
      <c r="M48" s="11"/>
      <c r="N48" s="7" t="s">
        <v>28</v>
      </c>
      <c r="O48" s="7" t="s">
        <v>29</v>
      </c>
      <c r="P48" s="7" t="s">
        <v>29</v>
      </c>
      <c r="Q48" s="11"/>
      <c r="R48" s="7" t="s">
        <v>29</v>
      </c>
      <c r="S48" s="12"/>
      <c r="T48" s="13"/>
      <c r="V48" s="4">
        <f t="shared" ref="V48:AH48" si="48">COUNTIF($F$2:$F48,V$1)</f>
        <v>0</v>
      </c>
      <c r="W48" s="4">
        <f t="shared" si="48"/>
        <v>7</v>
      </c>
      <c r="X48" s="4">
        <f t="shared" si="48"/>
        <v>0</v>
      </c>
      <c r="Y48" s="4">
        <f t="shared" si="48"/>
        <v>4</v>
      </c>
      <c r="Z48" s="4">
        <f t="shared" si="48"/>
        <v>7</v>
      </c>
      <c r="AA48" s="4">
        <f t="shared" si="48"/>
        <v>0</v>
      </c>
      <c r="AB48" s="4">
        <f t="shared" si="48"/>
        <v>6</v>
      </c>
      <c r="AC48" s="4">
        <f t="shared" si="48"/>
        <v>6</v>
      </c>
      <c r="AD48" s="4">
        <f t="shared" si="48"/>
        <v>12</v>
      </c>
      <c r="AE48" s="4">
        <f t="shared" si="48"/>
        <v>0</v>
      </c>
      <c r="AF48" s="4">
        <f t="shared" si="48"/>
        <v>4</v>
      </c>
      <c r="AG48" s="4">
        <f t="shared" si="48"/>
        <v>0</v>
      </c>
      <c r="AH48" s="4">
        <f t="shared" si="48"/>
        <v>0</v>
      </c>
    </row>
    <row r="49">
      <c r="A49" s="7">
        <v>48.0</v>
      </c>
      <c r="B49" s="8">
        <v>41327.0</v>
      </c>
      <c r="C49" s="7" t="s">
        <v>39</v>
      </c>
      <c r="D49" s="7" t="s">
        <v>28</v>
      </c>
      <c r="E49" s="7" t="s">
        <v>4</v>
      </c>
      <c r="F49" s="7" t="s">
        <v>3</v>
      </c>
      <c r="G49" s="9">
        <f t="shared" si="2"/>
        <v>7</v>
      </c>
      <c r="H49" s="7" t="s">
        <v>29</v>
      </c>
      <c r="I49" s="7" t="s">
        <v>29</v>
      </c>
      <c r="J49" s="11"/>
      <c r="K49" s="7" t="s">
        <v>29</v>
      </c>
      <c r="L49" s="7" t="s">
        <v>29</v>
      </c>
      <c r="M49" s="11"/>
      <c r="N49" s="7" t="s">
        <v>28</v>
      </c>
      <c r="O49" s="7" t="s">
        <v>29</v>
      </c>
      <c r="P49" s="7" t="s">
        <v>29</v>
      </c>
      <c r="Q49" s="11"/>
      <c r="R49" s="7" t="s">
        <v>29</v>
      </c>
      <c r="S49" s="12"/>
      <c r="T49" s="13"/>
      <c r="V49" s="4">
        <f t="shared" ref="V49:AH49" si="49">COUNTIF($F$2:$F49,V$1)</f>
        <v>0</v>
      </c>
      <c r="W49" s="4">
        <f t="shared" si="49"/>
        <v>7</v>
      </c>
      <c r="X49" s="4">
        <f t="shared" si="49"/>
        <v>0</v>
      </c>
      <c r="Y49" s="4">
        <f t="shared" si="49"/>
        <v>5</v>
      </c>
      <c r="Z49" s="4">
        <f t="shared" si="49"/>
        <v>7</v>
      </c>
      <c r="AA49" s="4">
        <f t="shared" si="49"/>
        <v>0</v>
      </c>
      <c r="AB49" s="4">
        <f t="shared" si="49"/>
        <v>6</v>
      </c>
      <c r="AC49" s="4">
        <f t="shared" si="49"/>
        <v>6</v>
      </c>
      <c r="AD49" s="4">
        <f t="shared" si="49"/>
        <v>12</v>
      </c>
      <c r="AE49" s="4">
        <f t="shared" si="49"/>
        <v>0</v>
      </c>
      <c r="AF49" s="4">
        <f t="shared" si="49"/>
        <v>4</v>
      </c>
      <c r="AG49" s="4">
        <f t="shared" si="49"/>
        <v>0</v>
      </c>
      <c r="AH49" s="4">
        <f t="shared" si="49"/>
        <v>0</v>
      </c>
    </row>
    <row r="50">
      <c r="A50" s="7">
        <v>49.0</v>
      </c>
      <c r="B50" s="8">
        <v>41342.0</v>
      </c>
      <c r="C50" s="7" t="s">
        <v>39</v>
      </c>
      <c r="D50" s="7" t="s">
        <v>29</v>
      </c>
      <c r="E50" s="7" t="s">
        <v>33</v>
      </c>
      <c r="F50" s="7" t="s">
        <v>8</v>
      </c>
      <c r="G50" s="9">
        <f t="shared" si="2"/>
        <v>6</v>
      </c>
      <c r="H50" s="7" t="s">
        <v>28</v>
      </c>
      <c r="I50" s="7" t="s">
        <v>29</v>
      </c>
      <c r="J50" s="11"/>
      <c r="K50" s="7" t="s">
        <v>29</v>
      </c>
      <c r="L50" s="7" t="s">
        <v>29</v>
      </c>
      <c r="M50" s="7" t="s">
        <v>29</v>
      </c>
      <c r="N50" s="7" t="s">
        <v>28</v>
      </c>
      <c r="O50" s="7" t="s">
        <v>29</v>
      </c>
      <c r="P50" s="7" t="s">
        <v>29</v>
      </c>
      <c r="Q50" s="11"/>
      <c r="R50" s="7" t="s">
        <v>28</v>
      </c>
      <c r="S50" s="12"/>
      <c r="T50" s="13"/>
      <c r="V50" s="4">
        <f t="shared" ref="V50:AH50" si="50">COUNTIF($F$2:$F50,V$1)</f>
        <v>0</v>
      </c>
      <c r="W50" s="4">
        <f t="shared" si="50"/>
        <v>7</v>
      </c>
      <c r="X50" s="4">
        <f t="shared" si="50"/>
        <v>0</v>
      </c>
      <c r="Y50" s="4">
        <f t="shared" si="50"/>
        <v>5</v>
      </c>
      <c r="Z50" s="4">
        <f t="shared" si="50"/>
        <v>7</v>
      </c>
      <c r="AA50" s="4">
        <f t="shared" si="50"/>
        <v>0</v>
      </c>
      <c r="AB50" s="4">
        <f t="shared" si="50"/>
        <v>6</v>
      </c>
      <c r="AC50" s="4">
        <f t="shared" si="50"/>
        <v>6</v>
      </c>
      <c r="AD50" s="4">
        <f t="shared" si="50"/>
        <v>13</v>
      </c>
      <c r="AE50" s="4">
        <f t="shared" si="50"/>
        <v>0</v>
      </c>
      <c r="AF50" s="4">
        <f t="shared" si="50"/>
        <v>4</v>
      </c>
      <c r="AG50" s="4">
        <f t="shared" si="50"/>
        <v>0</v>
      </c>
      <c r="AH50" s="4">
        <f t="shared" si="50"/>
        <v>0</v>
      </c>
    </row>
    <row r="51">
      <c r="A51" s="7">
        <v>50.0</v>
      </c>
      <c r="B51" s="8">
        <v>41361.0</v>
      </c>
      <c r="C51" s="7" t="s">
        <v>39</v>
      </c>
      <c r="D51" s="7" t="s">
        <v>29</v>
      </c>
      <c r="E51" s="7" t="s">
        <v>30</v>
      </c>
      <c r="F51" s="15" t="s">
        <v>4</v>
      </c>
      <c r="G51" s="9">
        <f t="shared" si="2"/>
        <v>6</v>
      </c>
      <c r="H51" s="7" t="s">
        <v>28</v>
      </c>
      <c r="I51" s="7" t="s">
        <v>29</v>
      </c>
      <c r="J51" s="11"/>
      <c r="K51" s="7" t="s">
        <v>29</v>
      </c>
      <c r="L51" s="7" t="s">
        <v>29</v>
      </c>
      <c r="M51" s="7" t="s">
        <v>28</v>
      </c>
      <c r="N51" s="7" t="s">
        <v>28</v>
      </c>
      <c r="O51" s="7" t="s">
        <v>29</v>
      </c>
      <c r="P51" s="7" t="s">
        <v>29</v>
      </c>
      <c r="Q51" s="11"/>
      <c r="R51" s="7" t="s">
        <v>29</v>
      </c>
      <c r="S51" s="12"/>
      <c r="T51" s="13"/>
      <c r="V51" s="4">
        <f t="shared" ref="V51:AH51" si="51">COUNTIF($F$2:$F51,V$1)</f>
        <v>0</v>
      </c>
      <c r="W51" s="4">
        <f t="shared" si="51"/>
        <v>7</v>
      </c>
      <c r="X51" s="4">
        <f t="shared" si="51"/>
        <v>0</v>
      </c>
      <c r="Y51" s="4">
        <f t="shared" si="51"/>
        <v>5</v>
      </c>
      <c r="Z51" s="4">
        <f t="shared" si="51"/>
        <v>8</v>
      </c>
      <c r="AA51" s="4">
        <f t="shared" si="51"/>
        <v>0</v>
      </c>
      <c r="AB51" s="4">
        <f t="shared" si="51"/>
        <v>6</v>
      </c>
      <c r="AC51" s="4">
        <f t="shared" si="51"/>
        <v>6</v>
      </c>
      <c r="AD51" s="4">
        <f t="shared" si="51"/>
        <v>13</v>
      </c>
      <c r="AE51" s="4">
        <f t="shared" si="51"/>
        <v>0</v>
      </c>
      <c r="AF51" s="4">
        <f t="shared" si="51"/>
        <v>4</v>
      </c>
      <c r="AG51" s="4">
        <f t="shared" si="51"/>
        <v>0</v>
      </c>
      <c r="AH51" s="4">
        <f t="shared" si="51"/>
        <v>0</v>
      </c>
    </row>
    <row r="52">
      <c r="A52" s="7">
        <v>51.0</v>
      </c>
      <c r="B52" s="8">
        <v>41403.0</v>
      </c>
      <c r="C52" s="7" t="s">
        <v>39</v>
      </c>
      <c r="D52" s="7" t="s">
        <v>28</v>
      </c>
      <c r="E52" s="7" t="s">
        <v>7</v>
      </c>
      <c r="F52" s="7" t="s">
        <v>1</v>
      </c>
      <c r="G52" s="9">
        <f t="shared" si="2"/>
        <v>7</v>
      </c>
      <c r="H52" s="7" t="s">
        <v>28</v>
      </c>
      <c r="I52" s="7" t="s">
        <v>29</v>
      </c>
      <c r="J52" s="11"/>
      <c r="K52" s="7" t="s">
        <v>28</v>
      </c>
      <c r="L52" s="7" t="s">
        <v>29</v>
      </c>
      <c r="M52" s="7" t="s">
        <v>28</v>
      </c>
      <c r="N52" s="7" t="s">
        <v>29</v>
      </c>
      <c r="O52" s="7" t="s">
        <v>29</v>
      </c>
      <c r="P52" s="7" t="s">
        <v>29</v>
      </c>
      <c r="Q52" s="7" t="s">
        <v>29</v>
      </c>
      <c r="R52" s="7" t="s">
        <v>29</v>
      </c>
      <c r="S52" s="12"/>
      <c r="T52" s="13"/>
      <c r="V52" s="4">
        <f t="shared" ref="V52:AH52" si="52">COUNTIF($F$2:$F52,V$1)</f>
        <v>0</v>
      </c>
      <c r="W52" s="4">
        <f t="shared" si="52"/>
        <v>8</v>
      </c>
      <c r="X52" s="4">
        <f t="shared" si="52"/>
        <v>0</v>
      </c>
      <c r="Y52" s="4">
        <f t="shared" si="52"/>
        <v>5</v>
      </c>
      <c r="Z52" s="4">
        <f t="shared" si="52"/>
        <v>8</v>
      </c>
      <c r="AA52" s="4">
        <f t="shared" si="52"/>
        <v>0</v>
      </c>
      <c r="AB52" s="4">
        <f t="shared" si="52"/>
        <v>6</v>
      </c>
      <c r="AC52" s="4">
        <f t="shared" si="52"/>
        <v>6</v>
      </c>
      <c r="AD52" s="4">
        <f t="shared" si="52"/>
        <v>13</v>
      </c>
      <c r="AE52" s="4">
        <f t="shared" si="52"/>
        <v>0</v>
      </c>
      <c r="AF52" s="4">
        <f t="shared" si="52"/>
        <v>4</v>
      </c>
      <c r="AG52" s="4">
        <f t="shared" si="52"/>
        <v>0</v>
      </c>
      <c r="AH52" s="4">
        <f t="shared" si="52"/>
        <v>0</v>
      </c>
    </row>
    <row r="53">
      <c r="A53" s="7">
        <v>52.0</v>
      </c>
      <c r="B53" s="8">
        <v>41451.0</v>
      </c>
      <c r="C53" s="7" t="s">
        <v>39</v>
      </c>
      <c r="D53" s="7" t="s">
        <v>28</v>
      </c>
      <c r="E53" s="7" t="s">
        <v>1</v>
      </c>
      <c r="F53" s="7" t="s">
        <v>8</v>
      </c>
      <c r="G53" s="9">
        <f t="shared" si="2"/>
        <v>4</v>
      </c>
      <c r="H53" s="7" t="s">
        <v>29</v>
      </c>
      <c r="I53" s="7" t="s">
        <v>29</v>
      </c>
      <c r="J53" s="11"/>
      <c r="K53" s="7" t="s">
        <v>28</v>
      </c>
      <c r="L53" s="7" t="s">
        <v>29</v>
      </c>
      <c r="M53" s="7" t="s">
        <v>28</v>
      </c>
      <c r="N53" s="7" t="s">
        <v>28</v>
      </c>
      <c r="O53" s="7" t="s">
        <v>28</v>
      </c>
      <c r="P53" s="7" t="s">
        <v>29</v>
      </c>
      <c r="Q53" s="7" t="s">
        <v>28</v>
      </c>
      <c r="R53" s="7" t="s">
        <v>28</v>
      </c>
      <c r="S53" s="12"/>
      <c r="T53" s="13"/>
      <c r="V53" s="4">
        <f t="shared" ref="V53:AH53" si="53">COUNTIF($F$2:$F53,V$1)</f>
        <v>0</v>
      </c>
      <c r="W53" s="4">
        <f t="shared" si="53"/>
        <v>8</v>
      </c>
      <c r="X53" s="4">
        <f t="shared" si="53"/>
        <v>0</v>
      </c>
      <c r="Y53" s="4">
        <f t="shared" si="53"/>
        <v>5</v>
      </c>
      <c r="Z53" s="4">
        <f t="shared" si="53"/>
        <v>8</v>
      </c>
      <c r="AA53" s="4">
        <f t="shared" si="53"/>
        <v>0</v>
      </c>
      <c r="AB53" s="4">
        <f t="shared" si="53"/>
        <v>6</v>
      </c>
      <c r="AC53" s="4">
        <f t="shared" si="53"/>
        <v>6</v>
      </c>
      <c r="AD53" s="4">
        <f t="shared" si="53"/>
        <v>14</v>
      </c>
      <c r="AE53" s="4">
        <f t="shared" si="53"/>
        <v>0</v>
      </c>
      <c r="AF53" s="4">
        <f t="shared" si="53"/>
        <v>4</v>
      </c>
      <c r="AG53" s="4">
        <f t="shared" si="53"/>
        <v>0</v>
      </c>
      <c r="AH53" s="4">
        <f t="shared" si="53"/>
        <v>0</v>
      </c>
    </row>
    <row r="54">
      <c r="A54" s="7">
        <v>53.0</v>
      </c>
      <c r="B54" s="8">
        <v>41526.0</v>
      </c>
      <c r="C54" s="7" t="s">
        <v>40</v>
      </c>
      <c r="D54" s="7" t="s">
        <v>28</v>
      </c>
      <c r="E54" s="7" t="s">
        <v>10</v>
      </c>
      <c r="F54" s="7" t="s">
        <v>4</v>
      </c>
      <c r="G54" s="9">
        <f t="shared" si="2"/>
        <v>7</v>
      </c>
      <c r="H54" s="7" t="s">
        <v>29</v>
      </c>
      <c r="I54" s="7" t="s">
        <v>29</v>
      </c>
      <c r="J54" s="11"/>
      <c r="K54" s="7" t="s">
        <v>29</v>
      </c>
      <c r="L54" s="7" t="s">
        <v>29</v>
      </c>
      <c r="M54" s="7" t="s">
        <v>28</v>
      </c>
      <c r="N54" s="7" t="s">
        <v>28</v>
      </c>
      <c r="O54" s="7" t="s">
        <v>29</v>
      </c>
      <c r="P54" s="7" t="s">
        <v>29</v>
      </c>
      <c r="Q54" s="7" t="s">
        <v>28</v>
      </c>
      <c r="R54" s="7" t="s">
        <v>29</v>
      </c>
      <c r="S54" s="12"/>
      <c r="T54" s="13"/>
      <c r="V54" s="4">
        <f t="shared" ref="V54:AH54" si="54">COUNTIF($F$2:$F54,V$1)</f>
        <v>0</v>
      </c>
      <c r="W54" s="4">
        <f t="shared" si="54"/>
        <v>8</v>
      </c>
      <c r="X54" s="4">
        <f t="shared" si="54"/>
        <v>0</v>
      </c>
      <c r="Y54" s="4">
        <f t="shared" si="54"/>
        <v>5</v>
      </c>
      <c r="Z54" s="4">
        <f t="shared" si="54"/>
        <v>9</v>
      </c>
      <c r="AA54" s="4">
        <f t="shared" si="54"/>
        <v>0</v>
      </c>
      <c r="AB54" s="4">
        <f t="shared" si="54"/>
        <v>6</v>
      </c>
      <c r="AC54" s="4">
        <f t="shared" si="54"/>
        <v>6</v>
      </c>
      <c r="AD54" s="4">
        <f t="shared" si="54"/>
        <v>14</v>
      </c>
      <c r="AE54" s="4">
        <f t="shared" si="54"/>
        <v>0</v>
      </c>
      <c r="AF54" s="4">
        <f t="shared" si="54"/>
        <v>4</v>
      </c>
      <c r="AG54" s="4">
        <f t="shared" si="54"/>
        <v>0</v>
      </c>
      <c r="AH54" s="4">
        <f t="shared" si="54"/>
        <v>0</v>
      </c>
    </row>
    <row r="55">
      <c r="A55" s="7">
        <v>54.0</v>
      </c>
      <c r="B55" s="8">
        <v>41558.0</v>
      </c>
      <c r="C55" s="7" t="s">
        <v>40</v>
      </c>
      <c r="D55" s="7" t="s">
        <v>28</v>
      </c>
      <c r="E55" s="7" t="s">
        <v>6</v>
      </c>
      <c r="F55" s="7" t="s">
        <v>8</v>
      </c>
      <c r="G55" s="9">
        <f t="shared" si="2"/>
        <v>6</v>
      </c>
      <c r="H55" s="7" t="s">
        <v>28</v>
      </c>
      <c r="I55" s="7" t="s">
        <v>28</v>
      </c>
      <c r="J55" s="11"/>
      <c r="K55" s="7" t="s">
        <v>29</v>
      </c>
      <c r="L55" s="7" t="s">
        <v>29</v>
      </c>
      <c r="M55" s="7" t="s">
        <v>28</v>
      </c>
      <c r="N55" s="7" t="s">
        <v>29</v>
      </c>
      <c r="O55" s="7" t="s">
        <v>29</v>
      </c>
      <c r="P55" s="7" t="s">
        <v>29</v>
      </c>
      <c r="Q55" s="7" t="s">
        <v>28</v>
      </c>
      <c r="R55" s="7" t="s">
        <v>29</v>
      </c>
      <c r="S55" s="12"/>
      <c r="T55" s="13"/>
      <c r="V55" s="4">
        <f t="shared" ref="V55:AH55" si="55">COUNTIF($F$2:$F55,V$1)</f>
        <v>0</v>
      </c>
      <c r="W55" s="4">
        <f t="shared" si="55"/>
        <v>8</v>
      </c>
      <c r="X55" s="4">
        <f t="shared" si="55"/>
        <v>0</v>
      </c>
      <c r="Y55" s="4">
        <f t="shared" si="55"/>
        <v>5</v>
      </c>
      <c r="Z55" s="4">
        <f t="shared" si="55"/>
        <v>9</v>
      </c>
      <c r="AA55" s="4">
        <f t="shared" si="55"/>
        <v>0</v>
      </c>
      <c r="AB55" s="4">
        <f t="shared" si="55"/>
        <v>6</v>
      </c>
      <c r="AC55" s="4">
        <f t="shared" si="55"/>
        <v>6</v>
      </c>
      <c r="AD55" s="4">
        <f t="shared" si="55"/>
        <v>15</v>
      </c>
      <c r="AE55" s="4">
        <f t="shared" si="55"/>
        <v>0</v>
      </c>
      <c r="AF55" s="4">
        <f t="shared" si="55"/>
        <v>4</v>
      </c>
      <c r="AG55" s="4">
        <f t="shared" si="55"/>
        <v>0</v>
      </c>
      <c r="AH55" s="4">
        <f t="shared" si="55"/>
        <v>0</v>
      </c>
    </row>
    <row r="56">
      <c r="A56" s="7">
        <v>55.0</v>
      </c>
      <c r="B56" s="8">
        <v>41599.0</v>
      </c>
      <c r="C56" s="7" t="s">
        <v>40</v>
      </c>
      <c r="D56" s="7" t="s">
        <v>28</v>
      </c>
      <c r="E56" s="7" t="s">
        <v>8</v>
      </c>
      <c r="F56" s="7" t="s">
        <v>9</v>
      </c>
      <c r="G56" s="9">
        <f t="shared" si="2"/>
        <v>9</v>
      </c>
      <c r="H56" s="7" t="s">
        <v>29</v>
      </c>
      <c r="I56" s="7" t="s">
        <v>29</v>
      </c>
      <c r="J56" s="11"/>
      <c r="K56" s="7" t="s">
        <v>29</v>
      </c>
      <c r="L56" s="7" t="s">
        <v>29</v>
      </c>
      <c r="M56" s="7" t="s">
        <v>29</v>
      </c>
      <c r="N56" s="7" t="s">
        <v>28</v>
      </c>
      <c r="O56" s="7" t="s">
        <v>29</v>
      </c>
      <c r="P56" s="7" t="s">
        <v>29</v>
      </c>
      <c r="Q56" s="7" t="s">
        <v>29</v>
      </c>
      <c r="R56" s="7" t="s">
        <v>29</v>
      </c>
      <c r="S56" s="12"/>
      <c r="T56" s="13"/>
      <c r="V56" s="4">
        <f t="shared" ref="V56:AH56" si="56">COUNTIF($F$2:$F56,V$1)</f>
        <v>0</v>
      </c>
      <c r="W56" s="4">
        <f t="shared" si="56"/>
        <v>8</v>
      </c>
      <c r="X56" s="4">
        <f t="shared" si="56"/>
        <v>0</v>
      </c>
      <c r="Y56" s="4">
        <f t="shared" si="56"/>
        <v>5</v>
      </c>
      <c r="Z56" s="4">
        <f t="shared" si="56"/>
        <v>9</v>
      </c>
      <c r="AA56" s="4">
        <f t="shared" si="56"/>
        <v>0</v>
      </c>
      <c r="AB56" s="4">
        <f t="shared" si="56"/>
        <v>6</v>
      </c>
      <c r="AC56" s="4">
        <f t="shared" si="56"/>
        <v>6</v>
      </c>
      <c r="AD56" s="4">
        <f t="shared" si="56"/>
        <v>15</v>
      </c>
      <c r="AE56" s="4">
        <f t="shared" si="56"/>
        <v>1</v>
      </c>
      <c r="AF56" s="4">
        <f t="shared" si="56"/>
        <v>4</v>
      </c>
      <c r="AG56" s="4">
        <f t="shared" si="56"/>
        <v>0</v>
      </c>
      <c r="AH56" s="4">
        <f t="shared" si="56"/>
        <v>0</v>
      </c>
    </row>
    <row r="57">
      <c r="A57" s="7">
        <v>56.0</v>
      </c>
      <c r="B57" s="8">
        <v>41635.0</v>
      </c>
      <c r="C57" s="7" t="s">
        <v>40</v>
      </c>
      <c r="D57" s="7" t="s">
        <v>29</v>
      </c>
      <c r="E57" s="7" t="s">
        <v>38</v>
      </c>
      <c r="F57" s="7" t="s">
        <v>1</v>
      </c>
      <c r="G57" s="9">
        <f t="shared" si="2"/>
        <v>5</v>
      </c>
      <c r="H57" s="7" t="s">
        <v>28</v>
      </c>
      <c r="I57" s="7" t="s">
        <v>29</v>
      </c>
      <c r="J57" s="11"/>
      <c r="K57" s="7" t="s">
        <v>29</v>
      </c>
      <c r="L57" s="7" t="s">
        <v>29</v>
      </c>
      <c r="M57" s="7" t="s">
        <v>28</v>
      </c>
      <c r="N57" s="7" t="s">
        <v>28</v>
      </c>
      <c r="O57" s="7" t="s">
        <v>29</v>
      </c>
      <c r="P57" s="7" t="s">
        <v>29</v>
      </c>
      <c r="Q57" s="7" t="s">
        <v>28</v>
      </c>
      <c r="R57" s="7" t="s">
        <v>28</v>
      </c>
      <c r="S57" s="12"/>
      <c r="T57" s="13"/>
      <c r="V57" s="4">
        <f t="shared" ref="V57:AH57" si="57">COUNTIF($F$2:$F57,V$1)</f>
        <v>0</v>
      </c>
      <c r="W57" s="4">
        <f t="shared" si="57"/>
        <v>9</v>
      </c>
      <c r="X57" s="4">
        <f t="shared" si="57"/>
        <v>0</v>
      </c>
      <c r="Y57" s="4">
        <f t="shared" si="57"/>
        <v>5</v>
      </c>
      <c r="Z57" s="4">
        <f t="shared" si="57"/>
        <v>9</v>
      </c>
      <c r="AA57" s="4">
        <f t="shared" si="57"/>
        <v>0</v>
      </c>
      <c r="AB57" s="4">
        <f t="shared" si="57"/>
        <v>6</v>
      </c>
      <c r="AC57" s="4">
        <f t="shared" si="57"/>
        <v>6</v>
      </c>
      <c r="AD57" s="4">
        <f t="shared" si="57"/>
        <v>15</v>
      </c>
      <c r="AE57" s="4">
        <f t="shared" si="57"/>
        <v>1</v>
      </c>
      <c r="AF57" s="4">
        <f t="shared" si="57"/>
        <v>4</v>
      </c>
      <c r="AG57" s="4">
        <f t="shared" si="57"/>
        <v>0</v>
      </c>
      <c r="AH57" s="4">
        <f t="shared" si="57"/>
        <v>0</v>
      </c>
    </row>
    <row r="58">
      <c r="A58" s="7">
        <v>57.0</v>
      </c>
      <c r="B58" s="8">
        <v>41648.0</v>
      </c>
      <c r="C58" s="7" t="s">
        <v>40</v>
      </c>
      <c r="D58" s="7" t="s">
        <v>28</v>
      </c>
      <c r="E58" s="7" t="s">
        <v>0</v>
      </c>
      <c r="F58" s="7" t="s">
        <v>7</v>
      </c>
      <c r="G58" s="9">
        <f t="shared" si="2"/>
        <v>7</v>
      </c>
      <c r="H58" s="7" t="s">
        <v>29</v>
      </c>
      <c r="I58" s="7" t="s">
        <v>29</v>
      </c>
      <c r="J58" s="11"/>
      <c r="K58" s="7" t="s">
        <v>29</v>
      </c>
      <c r="L58" s="7" t="s">
        <v>29</v>
      </c>
      <c r="M58" s="7" t="s">
        <v>28</v>
      </c>
      <c r="N58" s="7" t="s">
        <v>28</v>
      </c>
      <c r="O58" s="7" t="s">
        <v>29</v>
      </c>
      <c r="P58" s="7" t="s">
        <v>29</v>
      </c>
      <c r="Q58" s="7" t="s">
        <v>28</v>
      </c>
      <c r="R58" s="7" t="s">
        <v>29</v>
      </c>
      <c r="S58" s="12"/>
      <c r="T58" s="13"/>
      <c r="V58" s="4">
        <f t="shared" ref="V58:AH58" si="58">COUNTIF($F$2:$F58,V$1)</f>
        <v>0</v>
      </c>
      <c r="W58" s="4">
        <f t="shared" si="58"/>
        <v>9</v>
      </c>
      <c r="X58" s="4">
        <f t="shared" si="58"/>
        <v>0</v>
      </c>
      <c r="Y58" s="4">
        <f t="shared" si="58"/>
        <v>5</v>
      </c>
      <c r="Z58" s="4">
        <f t="shared" si="58"/>
        <v>9</v>
      </c>
      <c r="AA58" s="4">
        <f t="shared" si="58"/>
        <v>0</v>
      </c>
      <c r="AB58" s="4">
        <f t="shared" si="58"/>
        <v>6</v>
      </c>
      <c r="AC58" s="4">
        <f t="shared" si="58"/>
        <v>7</v>
      </c>
      <c r="AD58" s="4">
        <f t="shared" si="58"/>
        <v>15</v>
      </c>
      <c r="AE58" s="4">
        <f t="shared" si="58"/>
        <v>1</v>
      </c>
      <c r="AF58" s="4">
        <f t="shared" si="58"/>
        <v>4</v>
      </c>
      <c r="AG58" s="4">
        <f t="shared" si="58"/>
        <v>0</v>
      </c>
      <c r="AH58" s="4">
        <f t="shared" si="58"/>
        <v>0</v>
      </c>
    </row>
    <row r="59">
      <c r="A59" s="7">
        <v>58.0</v>
      </c>
      <c r="B59" s="8">
        <v>41674.0</v>
      </c>
      <c r="C59" s="7" t="s">
        <v>40</v>
      </c>
      <c r="D59" s="7" t="s">
        <v>28</v>
      </c>
      <c r="E59" s="7" t="s">
        <v>4</v>
      </c>
      <c r="F59" s="7" t="s">
        <v>6</v>
      </c>
      <c r="G59" s="9">
        <f t="shared" si="2"/>
        <v>7</v>
      </c>
      <c r="H59" s="7" t="s">
        <v>29</v>
      </c>
      <c r="I59" s="7" t="s">
        <v>29</v>
      </c>
      <c r="J59" s="11"/>
      <c r="K59" s="7" t="s">
        <v>29</v>
      </c>
      <c r="L59" s="7" t="s">
        <v>29</v>
      </c>
      <c r="M59" s="7" t="s">
        <v>28</v>
      </c>
      <c r="N59" s="7" t="s">
        <v>29</v>
      </c>
      <c r="O59" s="7" t="s">
        <v>29</v>
      </c>
      <c r="P59" s="7" t="s">
        <v>29</v>
      </c>
      <c r="Q59" s="7" t="s">
        <v>28</v>
      </c>
      <c r="R59" s="7" t="s">
        <v>28</v>
      </c>
      <c r="S59" s="12"/>
      <c r="T59" s="13"/>
      <c r="V59" s="4">
        <f t="shared" ref="V59:AH59" si="59">COUNTIF($F$2:$F59,V$1)</f>
        <v>0</v>
      </c>
      <c r="W59" s="4">
        <f t="shared" si="59"/>
        <v>9</v>
      </c>
      <c r="X59" s="4">
        <f t="shared" si="59"/>
        <v>0</v>
      </c>
      <c r="Y59" s="4">
        <f t="shared" si="59"/>
        <v>5</v>
      </c>
      <c r="Z59" s="4">
        <f t="shared" si="59"/>
        <v>9</v>
      </c>
      <c r="AA59" s="4">
        <f t="shared" si="59"/>
        <v>0</v>
      </c>
      <c r="AB59" s="4">
        <f t="shared" si="59"/>
        <v>7</v>
      </c>
      <c r="AC59" s="4">
        <f t="shared" si="59"/>
        <v>7</v>
      </c>
      <c r="AD59" s="4">
        <f t="shared" si="59"/>
        <v>15</v>
      </c>
      <c r="AE59" s="4">
        <f t="shared" si="59"/>
        <v>1</v>
      </c>
      <c r="AF59" s="4">
        <f t="shared" si="59"/>
        <v>4</v>
      </c>
      <c r="AG59" s="4">
        <f t="shared" si="59"/>
        <v>0</v>
      </c>
      <c r="AH59" s="4">
        <f t="shared" si="59"/>
        <v>0</v>
      </c>
    </row>
    <row r="60">
      <c r="A60" s="7">
        <v>59.0</v>
      </c>
      <c r="B60" s="8">
        <v>41697.0</v>
      </c>
      <c r="C60" s="7" t="s">
        <v>40</v>
      </c>
      <c r="D60" s="7" t="s">
        <v>28</v>
      </c>
      <c r="E60" s="7" t="s">
        <v>7</v>
      </c>
      <c r="F60" s="7" t="s">
        <v>1</v>
      </c>
      <c r="G60" s="9">
        <f t="shared" si="2"/>
        <v>7</v>
      </c>
      <c r="H60" s="7" t="s">
        <v>29</v>
      </c>
      <c r="I60" s="7" t="s">
        <v>29</v>
      </c>
      <c r="J60" s="7" t="s">
        <v>29</v>
      </c>
      <c r="K60" s="7" t="s">
        <v>29</v>
      </c>
      <c r="L60" s="7" t="s">
        <v>29</v>
      </c>
      <c r="M60" s="7" t="s">
        <v>29</v>
      </c>
      <c r="N60" s="7" t="s">
        <v>28</v>
      </c>
      <c r="O60" s="7" t="s">
        <v>28</v>
      </c>
      <c r="P60" s="7" t="s">
        <v>29</v>
      </c>
      <c r="Q60" s="7" t="s">
        <v>28</v>
      </c>
      <c r="R60" s="7" t="s">
        <v>28</v>
      </c>
      <c r="S60" s="12"/>
      <c r="T60" s="13"/>
      <c r="V60" s="4">
        <f t="shared" ref="V60:AH60" si="60">COUNTIF($F$2:$F60,V$1)</f>
        <v>0</v>
      </c>
      <c r="W60" s="4">
        <f t="shared" si="60"/>
        <v>10</v>
      </c>
      <c r="X60" s="4">
        <f t="shared" si="60"/>
        <v>0</v>
      </c>
      <c r="Y60" s="4">
        <f t="shared" si="60"/>
        <v>5</v>
      </c>
      <c r="Z60" s="4">
        <f t="shared" si="60"/>
        <v>9</v>
      </c>
      <c r="AA60" s="4">
        <f t="shared" si="60"/>
        <v>0</v>
      </c>
      <c r="AB60" s="4">
        <f t="shared" si="60"/>
        <v>7</v>
      </c>
      <c r="AC60" s="4">
        <f t="shared" si="60"/>
        <v>7</v>
      </c>
      <c r="AD60" s="4">
        <f t="shared" si="60"/>
        <v>15</v>
      </c>
      <c r="AE60" s="4">
        <f t="shared" si="60"/>
        <v>1</v>
      </c>
      <c r="AF60" s="4">
        <f t="shared" si="60"/>
        <v>4</v>
      </c>
      <c r="AG60" s="4">
        <f t="shared" si="60"/>
        <v>0</v>
      </c>
      <c r="AH60" s="4">
        <f t="shared" si="60"/>
        <v>0</v>
      </c>
    </row>
    <row r="61">
      <c r="A61" s="7">
        <v>60.0</v>
      </c>
      <c r="B61" s="8">
        <v>41720.0</v>
      </c>
      <c r="C61" s="7" t="s">
        <v>40</v>
      </c>
      <c r="D61" s="7" t="s">
        <v>29</v>
      </c>
      <c r="E61" s="7" t="s">
        <v>33</v>
      </c>
      <c r="F61" s="7" t="s">
        <v>5</v>
      </c>
      <c r="G61" s="9">
        <f t="shared" si="2"/>
        <v>8</v>
      </c>
      <c r="H61" s="7" t="s">
        <v>29</v>
      </c>
      <c r="I61" s="7" t="s">
        <v>29</v>
      </c>
      <c r="J61" s="7" t="s">
        <v>28</v>
      </c>
      <c r="K61" s="7" t="s">
        <v>29</v>
      </c>
      <c r="L61" s="7" t="s">
        <v>29</v>
      </c>
      <c r="M61" s="7" t="s">
        <v>29</v>
      </c>
      <c r="N61" s="7" t="s">
        <v>28</v>
      </c>
      <c r="O61" s="7" t="s">
        <v>29</v>
      </c>
      <c r="P61" s="7" t="s">
        <v>29</v>
      </c>
      <c r="Q61" s="7" t="s">
        <v>29</v>
      </c>
      <c r="R61" s="7" t="s">
        <v>28</v>
      </c>
      <c r="S61" s="12"/>
      <c r="T61" s="13"/>
      <c r="V61" s="4">
        <f t="shared" ref="V61:AH61" si="61">COUNTIF($F$2:$F61,V$1)</f>
        <v>0</v>
      </c>
      <c r="W61" s="4">
        <f t="shared" si="61"/>
        <v>10</v>
      </c>
      <c r="X61" s="4">
        <f t="shared" si="61"/>
        <v>0</v>
      </c>
      <c r="Y61" s="4">
        <f t="shared" si="61"/>
        <v>5</v>
      </c>
      <c r="Z61" s="4">
        <f t="shared" si="61"/>
        <v>9</v>
      </c>
      <c r="AA61" s="4">
        <f t="shared" si="61"/>
        <v>1</v>
      </c>
      <c r="AB61" s="4">
        <f t="shared" si="61"/>
        <v>7</v>
      </c>
      <c r="AC61" s="4">
        <f t="shared" si="61"/>
        <v>7</v>
      </c>
      <c r="AD61" s="4">
        <f t="shared" si="61"/>
        <v>15</v>
      </c>
      <c r="AE61" s="4">
        <f t="shared" si="61"/>
        <v>1</v>
      </c>
      <c r="AF61" s="4">
        <f t="shared" si="61"/>
        <v>4</v>
      </c>
      <c r="AG61" s="4">
        <f t="shared" si="61"/>
        <v>0</v>
      </c>
      <c r="AH61" s="4">
        <f t="shared" si="61"/>
        <v>0</v>
      </c>
    </row>
    <row r="62">
      <c r="A62" s="7">
        <v>61.0</v>
      </c>
      <c r="B62" s="8">
        <v>41746.0</v>
      </c>
      <c r="C62" s="7" t="s">
        <v>40</v>
      </c>
      <c r="D62" s="7" t="s">
        <v>29</v>
      </c>
      <c r="E62" s="7" t="s">
        <v>30</v>
      </c>
      <c r="F62" s="7" t="s">
        <v>8</v>
      </c>
      <c r="G62" s="9">
        <f t="shared" si="2"/>
        <v>7</v>
      </c>
      <c r="H62" s="7" t="s">
        <v>29</v>
      </c>
      <c r="I62" s="7" t="s">
        <v>29</v>
      </c>
      <c r="J62" s="7" t="s">
        <v>28</v>
      </c>
      <c r="K62" s="7" t="s">
        <v>29</v>
      </c>
      <c r="L62" s="7" t="s">
        <v>29</v>
      </c>
      <c r="M62" s="7" t="s">
        <v>28</v>
      </c>
      <c r="N62" s="7" t="s">
        <v>28</v>
      </c>
      <c r="O62" s="7" t="s">
        <v>29</v>
      </c>
      <c r="P62" s="7" t="s">
        <v>29</v>
      </c>
      <c r="Q62" s="7" t="s">
        <v>28</v>
      </c>
      <c r="R62" s="7" t="s">
        <v>29</v>
      </c>
      <c r="S62" s="12"/>
      <c r="T62" s="13"/>
      <c r="V62" s="4">
        <f t="shared" ref="V62:AH62" si="62">COUNTIF($F$2:$F62,V$1)</f>
        <v>0</v>
      </c>
      <c r="W62" s="4">
        <f t="shared" si="62"/>
        <v>10</v>
      </c>
      <c r="X62" s="4">
        <f t="shared" si="62"/>
        <v>0</v>
      </c>
      <c r="Y62" s="4">
        <f t="shared" si="62"/>
        <v>5</v>
      </c>
      <c r="Z62" s="4">
        <f t="shared" si="62"/>
        <v>9</v>
      </c>
      <c r="AA62" s="4">
        <f t="shared" si="62"/>
        <v>1</v>
      </c>
      <c r="AB62" s="4">
        <f t="shared" si="62"/>
        <v>7</v>
      </c>
      <c r="AC62" s="4">
        <f t="shared" si="62"/>
        <v>7</v>
      </c>
      <c r="AD62" s="4">
        <f t="shared" si="62"/>
        <v>16</v>
      </c>
      <c r="AE62" s="4">
        <f t="shared" si="62"/>
        <v>1</v>
      </c>
      <c r="AF62" s="4">
        <f t="shared" si="62"/>
        <v>4</v>
      </c>
      <c r="AG62" s="4">
        <f t="shared" si="62"/>
        <v>0</v>
      </c>
      <c r="AH62" s="4">
        <f t="shared" si="62"/>
        <v>0</v>
      </c>
    </row>
    <row r="63">
      <c r="A63" s="7">
        <v>62.0</v>
      </c>
      <c r="B63" s="8">
        <v>41780.0</v>
      </c>
      <c r="C63" s="7" t="s">
        <v>40</v>
      </c>
      <c r="D63" s="7" t="s">
        <v>28</v>
      </c>
      <c r="E63" s="7" t="s">
        <v>1</v>
      </c>
      <c r="F63" s="7" t="s">
        <v>2</v>
      </c>
      <c r="G63" s="9">
        <f t="shared" si="2"/>
        <v>9</v>
      </c>
      <c r="H63" s="7" t="s">
        <v>29</v>
      </c>
      <c r="I63" s="7" t="s">
        <v>29</v>
      </c>
      <c r="J63" s="7" t="s">
        <v>29</v>
      </c>
      <c r="K63" s="7" t="s">
        <v>29</v>
      </c>
      <c r="L63" s="7" t="s">
        <v>29</v>
      </c>
      <c r="M63" s="7" t="s">
        <v>29</v>
      </c>
      <c r="N63" s="7" t="s">
        <v>28</v>
      </c>
      <c r="O63" s="7" t="s">
        <v>29</v>
      </c>
      <c r="P63" s="7" t="s">
        <v>29</v>
      </c>
      <c r="Q63" s="7" t="s">
        <v>29</v>
      </c>
      <c r="R63" s="7" t="s">
        <v>28</v>
      </c>
      <c r="S63" s="12"/>
      <c r="T63" s="13"/>
      <c r="V63" s="4">
        <f t="shared" ref="V63:AH63" si="63">COUNTIF($F$2:$F63,V$1)</f>
        <v>0</v>
      </c>
      <c r="W63" s="4">
        <f t="shared" si="63"/>
        <v>10</v>
      </c>
      <c r="X63" s="4">
        <f t="shared" si="63"/>
        <v>1</v>
      </c>
      <c r="Y63" s="4">
        <f t="shared" si="63"/>
        <v>5</v>
      </c>
      <c r="Z63" s="4">
        <f t="shared" si="63"/>
        <v>9</v>
      </c>
      <c r="AA63" s="4">
        <f t="shared" si="63"/>
        <v>1</v>
      </c>
      <c r="AB63" s="4">
        <f t="shared" si="63"/>
        <v>7</v>
      </c>
      <c r="AC63" s="4">
        <f t="shared" si="63"/>
        <v>7</v>
      </c>
      <c r="AD63" s="4">
        <f t="shared" si="63"/>
        <v>16</v>
      </c>
      <c r="AE63" s="4">
        <f t="shared" si="63"/>
        <v>1</v>
      </c>
      <c r="AF63" s="4">
        <f t="shared" si="63"/>
        <v>4</v>
      </c>
      <c r="AG63" s="4">
        <f t="shared" si="63"/>
        <v>0</v>
      </c>
      <c r="AH63" s="4">
        <f t="shared" si="63"/>
        <v>0</v>
      </c>
    </row>
    <row r="64">
      <c r="A64" s="7">
        <v>63.0</v>
      </c>
      <c r="B64" s="16">
        <v>41821.0</v>
      </c>
      <c r="C64" s="7" t="s">
        <v>40</v>
      </c>
      <c r="D64" s="7" t="s">
        <v>28</v>
      </c>
      <c r="E64" s="7" t="s">
        <v>8</v>
      </c>
      <c r="F64" s="7" t="s">
        <v>2</v>
      </c>
      <c r="G64" s="9">
        <f t="shared" si="2"/>
        <v>6</v>
      </c>
      <c r="H64" s="7" t="s">
        <v>29</v>
      </c>
      <c r="I64" s="7" t="s">
        <v>29</v>
      </c>
      <c r="J64" s="7" t="s">
        <v>29</v>
      </c>
      <c r="K64" s="7" t="s">
        <v>29</v>
      </c>
      <c r="L64" s="7" t="s">
        <v>29</v>
      </c>
      <c r="M64" s="7" t="s">
        <v>29</v>
      </c>
      <c r="N64" s="7" t="s">
        <v>28</v>
      </c>
      <c r="O64" s="7" t="s">
        <v>28</v>
      </c>
      <c r="P64" s="7" t="s">
        <v>28</v>
      </c>
      <c r="Q64" s="7" t="s">
        <v>28</v>
      </c>
      <c r="R64" s="7" t="s">
        <v>28</v>
      </c>
      <c r="S64" s="12"/>
      <c r="T64" s="13"/>
      <c r="V64" s="4">
        <f t="shared" ref="V64:AH64" si="64">COUNTIF($F$2:$F64,V$1)</f>
        <v>0</v>
      </c>
      <c r="W64" s="4">
        <f t="shared" si="64"/>
        <v>10</v>
      </c>
      <c r="X64" s="4">
        <f t="shared" si="64"/>
        <v>2</v>
      </c>
      <c r="Y64" s="4">
        <f t="shared" si="64"/>
        <v>5</v>
      </c>
      <c r="Z64" s="4">
        <f t="shared" si="64"/>
        <v>9</v>
      </c>
      <c r="AA64" s="4">
        <f t="shared" si="64"/>
        <v>1</v>
      </c>
      <c r="AB64" s="4">
        <f t="shared" si="64"/>
        <v>7</v>
      </c>
      <c r="AC64" s="4">
        <f t="shared" si="64"/>
        <v>7</v>
      </c>
      <c r="AD64" s="4">
        <f t="shared" si="64"/>
        <v>16</v>
      </c>
      <c r="AE64" s="4">
        <f t="shared" si="64"/>
        <v>1</v>
      </c>
      <c r="AF64" s="4">
        <f t="shared" si="64"/>
        <v>4</v>
      </c>
      <c r="AG64" s="4">
        <f t="shared" si="64"/>
        <v>0</v>
      </c>
      <c r="AH64" s="4">
        <f t="shared" si="64"/>
        <v>0</v>
      </c>
    </row>
    <row r="65">
      <c r="A65" s="7">
        <v>64.0</v>
      </c>
      <c r="B65" s="16">
        <v>41877.0</v>
      </c>
      <c r="C65" s="7" t="s">
        <v>40</v>
      </c>
      <c r="D65" s="7" t="s">
        <v>28</v>
      </c>
      <c r="E65" s="7" t="s">
        <v>10</v>
      </c>
      <c r="F65" s="17" t="s">
        <v>1</v>
      </c>
      <c r="G65" s="9">
        <f t="shared" si="2"/>
        <v>9</v>
      </c>
      <c r="H65" s="7" t="s">
        <v>28</v>
      </c>
      <c r="I65" s="7" t="s">
        <v>29</v>
      </c>
      <c r="J65" s="7" t="s">
        <v>29</v>
      </c>
      <c r="K65" s="7" t="s">
        <v>29</v>
      </c>
      <c r="L65" s="7" t="s">
        <v>29</v>
      </c>
      <c r="M65" s="7" t="s">
        <v>29</v>
      </c>
      <c r="N65" s="7" t="s">
        <v>28</v>
      </c>
      <c r="O65" s="7" t="s">
        <v>29</v>
      </c>
      <c r="P65" s="7" t="s">
        <v>29</v>
      </c>
      <c r="Q65" s="7" t="s">
        <v>29</v>
      </c>
      <c r="R65" s="7" t="s">
        <v>29</v>
      </c>
      <c r="S65" s="12"/>
      <c r="T65" s="13"/>
      <c r="V65" s="4">
        <f t="shared" ref="V65:AH65" si="65">COUNTIF($F$2:$F65,V$1)</f>
        <v>0</v>
      </c>
      <c r="W65" s="4">
        <f t="shared" si="65"/>
        <v>11</v>
      </c>
      <c r="X65" s="4">
        <f t="shared" si="65"/>
        <v>2</v>
      </c>
      <c r="Y65" s="4">
        <f t="shared" si="65"/>
        <v>5</v>
      </c>
      <c r="Z65" s="4">
        <f t="shared" si="65"/>
        <v>9</v>
      </c>
      <c r="AA65" s="4">
        <f t="shared" si="65"/>
        <v>1</v>
      </c>
      <c r="AB65" s="4">
        <f t="shared" si="65"/>
        <v>7</v>
      </c>
      <c r="AC65" s="4">
        <f t="shared" si="65"/>
        <v>7</v>
      </c>
      <c r="AD65" s="4">
        <f t="shared" si="65"/>
        <v>16</v>
      </c>
      <c r="AE65" s="4">
        <f t="shared" si="65"/>
        <v>1</v>
      </c>
      <c r="AF65" s="4">
        <f t="shared" si="65"/>
        <v>4</v>
      </c>
      <c r="AG65" s="4">
        <f t="shared" si="65"/>
        <v>0</v>
      </c>
      <c r="AH65" s="4">
        <f t="shared" si="65"/>
        <v>0</v>
      </c>
    </row>
    <row r="66">
      <c r="A66" s="7">
        <v>65.0</v>
      </c>
      <c r="B66" s="16">
        <v>41900.0</v>
      </c>
      <c r="C66" s="7" t="s">
        <v>41</v>
      </c>
      <c r="D66" s="7" t="s">
        <v>28</v>
      </c>
      <c r="E66" s="7" t="s">
        <v>0</v>
      </c>
      <c r="F66" s="17" t="s">
        <v>5</v>
      </c>
      <c r="G66" s="9">
        <f t="shared" si="2"/>
        <v>7</v>
      </c>
      <c r="H66" s="7" t="s">
        <v>29</v>
      </c>
      <c r="I66" s="7" t="s">
        <v>29</v>
      </c>
      <c r="J66" s="7" t="s">
        <v>29</v>
      </c>
      <c r="K66" s="7" t="s">
        <v>29</v>
      </c>
      <c r="L66" s="7" t="s">
        <v>29</v>
      </c>
      <c r="M66" s="7" t="s">
        <v>29</v>
      </c>
      <c r="N66" s="7" t="s">
        <v>28</v>
      </c>
      <c r="O66" s="7" t="s">
        <v>28</v>
      </c>
      <c r="P66" s="7" t="s">
        <v>29</v>
      </c>
      <c r="Q66" s="7" t="s">
        <v>28</v>
      </c>
      <c r="R66" s="7" t="s">
        <v>28</v>
      </c>
      <c r="S66" s="12"/>
      <c r="T66" s="13"/>
      <c r="V66" s="4">
        <f t="shared" ref="V66:AH66" si="66">COUNTIF($F$2:$F66,V$1)</f>
        <v>0</v>
      </c>
      <c r="W66" s="4">
        <f t="shared" si="66"/>
        <v>11</v>
      </c>
      <c r="X66" s="4">
        <f t="shared" si="66"/>
        <v>2</v>
      </c>
      <c r="Y66" s="4">
        <f t="shared" si="66"/>
        <v>5</v>
      </c>
      <c r="Z66" s="4">
        <f t="shared" si="66"/>
        <v>9</v>
      </c>
      <c r="AA66" s="4">
        <f t="shared" si="66"/>
        <v>2</v>
      </c>
      <c r="AB66" s="4">
        <f t="shared" si="66"/>
        <v>7</v>
      </c>
      <c r="AC66" s="4">
        <f t="shared" si="66"/>
        <v>7</v>
      </c>
      <c r="AD66" s="4">
        <f t="shared" si="66"/>
        <v>16</v>
      </c>
      <c r="AE66" s="4">
        <f t="shared" si="66"/>
        <v>1</v>
      </c>
      <c r="AF66" s="4">
        <f t="shared" si="66"/>
        <v>4</v>
      </c>
      <c r="AG66" s="4">
        <f t="shared" si="66"/>
        <v>0</v>
      </c>
      <c r="AH66" s="4">
        <f t="shared" si="66"/>
        <v>0</v>
      </c>
    </row>
    <row r="67">
      <c r="A67" s="7">
        <v>66.0</v>
      </c>
      <c r="B67" s="16">
        <v>41940.0</v>
      </c>
      <c r="C67" s="7" t="s">
        <v>41</v>
      </c>
      <c r="D67" s="7" t="s">
        <v>28</v>
      </c>
      <c r="E67" s="7" t="s">
        <v>4</v>
      </c>
      <c r="F67" s="17" t="s">
        <v>8</v>
      </c>
      <c r="G67" s="9">
        <f t="shared" si="2"/>
        <v>7</v>
      </c>
      <c r="H67" s="7" t="s">
        <v>29</v>
      </c>
      <c r="I67" s="7" t="s">
        <v>29</v>
      </c>
      <c r="J67" s="7" t="s">
        <v>29</v>
      </c>
      <c r="K67" s="7" t="s">
        <v>28</v>
      </c>
      <c r="L67" s="7" t="s">
        <v>29</v>
      </c>
      <c r="M67" s="7" t="s">
        <v>29</v>
      </c>
      <c r="N67" s="7" t="s">
        <v>28</v>
      </c>
      <c r="O67" s="7" t="s">
        <v>29</v>
      </c>
      <c r="P67" s="7" t="s">
        <v>29</v>
      </c>
      <c r="Q67" s="7" t="s">
        <v>28</v>
      </c>
      <c r="R67" s="7" t="s">
        <v>28</v>
      </c>
      <c r="S67" s="12"/>
      <c r="T67" s="13"/>
      <c r="V67" s="4">
        <f t="shared" ref="V67:AH67" si="67">COUNTIF($F$2:$F67,V$1)</f>
        <v>0</v>
      </c>
      <c r="W67" s="4">
        <f t="shared" si="67"/>
        <v>11</v>
      </c>
      <c r="X67" s="4">
        <f t="shared" si="67"/>
        <v>2</v>
      </c>
      <c r="Y67" s="4">
        <f t="shared" si="67"/>
        <v>5</v>
      </c>
      <c r="Z67" s="4">
        <f t="shared" si="67"/>
        <v>9</v>
      </c>
      <c r="AA67" s="4">
        <f t="shared" si="67"/>
        <v>2</v>
      </c>
      <c r="AB67" s="4">
        <f t="shared" si="67"/>
        <v>7</v>
      </c>
      <c r="AC67" s="4">
        <f t="shared" si="67"/>
        <v>7</v>
      </c>
      <c r="AD67" s="4">
        <f t="shared" si="67"/>
        <v>17</v>
      </c>
      <c r="AE67" s="4">
        <f t="shared" si="67"/>
        <v>1</v>
      </c>
      <c r="AF67" s="4">
        <f t="shared" si="67"/>
        <v>4</v>
      </c>
      <c r="AG67" s="4">
        <f t="shared" si="67"/>
        <v>0</v>
      </c>
      <c r="AH67" s="4">
        <f t="shared" si="67"/>
        <v>0</v>
      </c>
    </row>
    <row r="68">
      <c r="A68" s="7">
        <v>67.0</v>
      </c>
      <c r="B68" s="16">
        <v>41967.0</v>
      </c>
      <c r="C68" s="7" t="s">
        <v>41</v>
      </c>
      <c r="D68" s="7" t="s">
        <v>28</v>
      </c>
      <c r="E68" s="7" t="s">
        <v>7</v>
      </c>
      <c r="F68" s="17" t="s">
        <v>5</v>
      </c>
      <c r="G68" s="9">
        <f t="shared" si="2"/>
        <v>10</v>
      </c>
      <c r="H68" s="7" t="s">
        <v>29</v>
      </c>
      <c r="I68" s="7" t="s">
        <v>29</v>
      </c>
      <c r="J68" s="7" t="s">
        <v>29</v>
      </c>
      <c r="K68" s="7" t="s">
        <v>29</v>
      </c>
      <c r="L68" s="7" t="s">
        <v>29</v>
      </c>
      <c r="M68" s="7" t="s">
        <v>29</v>
      </c>
      <c r="N68" s="7" t="s">
        <v>28</v>
      </c>
      <c r="O68" s="7" t="s">
        <v>29</v>
      </c>
      <c r="P68" s="7" t="s">
        <v>29</v>
      </c>
      <c r="Q68" s="7" t="s">
        <v>29</v>
      </c>
      <c r="R68" s="7" t="s">
        <v>29</v>
      </c>
      <c r="S68" s="12"/>
      <c r="T68" s="13"/>
      <c r="V68" s="4">
        <f t="shared" ref="V68:AH68" si="68">COUNTIF($F$2:$F68,V$1)</f>
        <v>0</v>
      </c>
      <c r="W68" s="4">
        <f t="shared" si="68"/>
        <v>11</v>
      </c>
      <c r="X68" s="4">
        <f t="shared" si="68"/>
        <v>2</v>
      </c>
      <c r="Y68" s="4">
        <f t="shared" si="68"/>
        <v>5</v>
      </c>
      <c r="Z68" s="4">
        <f t="shared" si="68"/>
        <v>9</v>
      </c>
      <c r="AA68" s="4">
        <f t="shared" si="68"/>
        <v>3</v>
      </c>
      <c r="AB68" s="4">
        <f t="shared" si="68"/>
        <v>7</v>
      </c>
      <c r="AC68" s="4">
        <f t="shared" si="68"/>
        <v>7</v>
      </c>
      <c r="AD68" s="4">
        <f t="shared" si="68"/>
        <v>17</v>
      </c>
      <c r="AE68" s="4">
        <f t="shared" si="68"/>
        <v>1</v>
      </c>
      <c r="AF68" s="4">
        <f t="shared" si="68"/>
        <v>4</v>
      </c>
      <c r="AG68" s="4">
        <f t="shared" si="68"/>
        <v>0</v>
      </c>
      <c r="AH68" s="4">
        <f t="shared" si="68"/>
        <v>0</v>
      </c>
    </row>
    <row r="69">
      <c r="A69" s="7">
        <v>68.0</v>
      </c>
      <c r="B69" s="16">
        <v>41995.0</v>
      </c>
      <c r="C69" s="7" t="s">
        <v>41</v>
      </c>
      <c r="D69" s="7" t="s">
        <v>28</v>
      </c>
      <c r="E69" s="7" t="s">
        <v>1</v>
      </c>
      <c r="F69" s="17" t="s">
        <v>0</v>
      </c>
      <c r="G69" s="9">
        <f t="shared" si="2"/>
        <v>9</v>
      </c>
      <c r="H69" s="7" t="s">
        <v>29</v>
      </c>
      <c r="I69" s="7" t="s">
        <v>29</v>
      </c>
      <c r="J69" s="7" t="s">
        <v>29</v>
      </c>
      <c r="K69" s="7" t="s">
        <v>29</v>
      </c>
      <c r="L69" s="7" t="s">
        <v>29</v>
      </c>
      <c r="M69" s="7" t="s">
        <v>29</v>
      </c>
      <c r="N69" s="7" t="s">
        <v>28</v>
      </c>
      <c r="O69" s="7" t="s">
        <v>28</v>
      </c>
      <c r="P69" s="7" t="s">
        <v>29</v>
      </c>
      <c r="Q69" s="7" t="s">
        <v>29</v>
      </c>
      <c r="R69" s="7" t="s">
        <v>29</v>
      </c>
      <c r="S69" s="12"/>
      <c r="T69" s="13"/>
      <c r="V69" s="4">
        <f t="shared" ref="V69:AH69" si="69">COUNTIF($F$2:$F69,V$1)</f>
        <v>1</v>
      </c>
      <c r="W69" s="4">
        <f t="shared" si="69"/>
        <v>11</v>
      </c>
      <c r="X69" s="4">
        <f t="shared" si="69"/>
        <v>2</v>
      </c>
      <c r="Y69" s="4">
        <f t="shared" si="69"/>
        <v>5</v>
      </c>
      <c r="Z69" s="4">
        <f t="shared" si="69"/>
        <v>9</v>
      </c>
      <c r="AA69" s="4">
        <f t="shared" si="69"/>
        <v>3</v>
      </c>
      <c r="AB69" s="4">
        <f t="shared" si="69"/>
        <v>7</v>
      </c>
      <c r="AC69" s="4">
        <f t="shared" si="69"/>
        <v>7</v>
      </c>
      <c r="AD69" s="4">
        <f t="shared" si="69"/>
        <v>17</v>
      </c>
      <c r="AE69" s="4">
        <f t="shared" si="69"/>
        <v>1</v>
      </c>
      <c r="AF69" s="4">
        <f t="shared" si="69"/>
        <v>4</v>
      </c>
      <c r="AG69" s="4">
        <f t="shared" si="69"/>
        <v>0</v>
      </c>
      <c r="AH69" s="4">
        <f t="shared" si="69"/>
        <v>0</v>
      </c>
    </row>
    <row r="70">
      <c r="A70" s="7">
        <v>69.0</v>
      </c>
      <c r="B70" s="16">
        <v>42006.0</v>
      </c>
      <c r="C70" s="7" t="s">
        <v>41</v>
      </c>
      <c r="D70" s="7" t="s">
        <v>29</v>
      </c>
      <c r="E70" s="7" t="s">
        <v>38</v>
      </c>
      <c r="F70" s="17" t="s">
        <v>8</v>
      </c>
      <c r="G70" s="9">
        <f t="shared" si="2"/>
        <v>8</v>
      </c>
      <c r="H70" s="7" t="s">
        <v>29</v>
      </c>
      <c r="I70" s="7" t="s">
        <v>29</v>
      </c>
      <c r="J70" s="7" t="s">
        <v>29</v>
      </c>
      <c r="K70" s="7" t="s">
        <v>29</v>
      </c>
      <c r="L70" s="7" t="s">
        <v>29</v>
      </c>
      <c r="M70" s="7" t="s">
        <v>29</v>
      </c>
      <c r="N70" s="7" t="s">
        <v>28</v>
      </c>
      <c r="O70" s="7" t="s">
        <v>29</v>
      </c>
      <c r="P70" s="7" t="s">
        <v>29</v>
      </c>
      <c r="Q70" s="7" t="s">
        <v>28</v>
      </c>
      <c r="R70" s="7" t="s">
        <v>28</v>
      </c>
      <c r="S70" s="12"/>
      <c r="T70" s="13"/>
      <c r="V70" s="4">
        <f t="shared" ref="V70:AH70" si="70">COUNTIF($F$2:$F70,V$1)</f>
        <v>1</v>
      </c>
      <c r="W70" s="4">
        <f t="shared" si="70"/>
        <v>11</v>
      </c>
      <c r="X70" s="4">
        <f t="shared" si="70"/>
        <v>2</v>
      </c>
      <c r="Y70" s="4">
        <f t="shared" si="70"/>
        <v>5</v>
      </c>
      <c r="Z70" s="4">
        <f t="shared" si="70"/>
        <v>9</v>
      </c>
      <c r="AA70" s="4">
        <f t="shared" si="70"/>
        <v>3</v>
      </c>
      <c r="AB70" s="4">
        <f t="shared" si="70"/>
        <v>7</v>
      </c>
      <c r="AC70" s="4">
        <f t="shared" si="70"/>
        <v>7</v>
      </c>
      <c r="AD70" s="4">
        <f t="shared" si="70"/>
        <v>18</v>
      </c>
      <c r="AE70" s="4">
        <f t="shared" si="70"/>
        <v>1</v>
      </c>
      <c r="AF70" s="4">
        <f t="shared" si="70"/>
        <v>4</v>
      </c>
      <c r="AG70" s="4">
        <f t="shared" si="70"/>
        <v>0</v>
      </c>
      <c r="AH70" s="4">
        <f t="shared" si="70"/>
        <v>0</v>
      </c>
    </row>
    <row r="71">
      <c r="A71" s="7">
        <v>70.0</v>
      </c>
      <c r="B71" s="16">
        <v>42024.0</v>
      </c>
      <c r="C71" s="7" t="s">
        <v>41</v>
      </c>
      <c r="D71" s="7" t="s">
        <v>28</v>
      </c>
      <c r="E71" s="7" t="s">
        <v>8</v>
      </c>
      <c r="F71" s="17" t="s">
        <v>7</v>
      </c>
      <c r="G71" s="9">
        <f t="shared" si="2"/>
        <v>7</v>
      </c>
      <c r="H71" s="7" t="s">
        <v>29</v>
      </c>
      <c r="I71" s="7" t="s">
        <v>29</v>
      </c>
      <c r="J71" s="7" t="s">
        <v>29</v>
      </c>
      <c r="K71" s="7" t="s">
        <v>29</v>
      </c>
      <c r="L71" s="7" t="s">
        <v>28</v>
      </c>
      <c r="M71" s="7" t="s">
        <v>28</v>
      </c>
      <c r="N71" s="7" t="s">
        <v>28</v>
      </c>
      <c r="O71" s="7" t="s">
        <v>29</v>
      </c>
      <c r="P71" s="7" t="s">
        <v>29</v>
      </c>
      <c r="Q71" s="7" t="s">
        <v>29</v>
      </c>
      <c r="R71" s="7" t="s">
        <v>28</v>
      </c>
      <c r="S71" s="12"/>
      <c r="T71" s="13"/>
      <c r="V71" s="4">
        <f t="shared" ref="V71:AH71" si="71">COUNTIF($F$2:$F71,V$1)</f>
        <v>1</v>
      </c>
      <c r="W71" s="4">
        <f t="shared" si="71"/>
        <v>11</v>
      </c>
      <c r="X71" s="4">
        <f t="shared" si="71"/>
        <v>2</v>
      </c>
      <c r="Y71" s="4">
        <f t="shared" si="71"/>
        <v>5</v>
      </c>
      <c r="Z71" s="4">
        <f t="shared" si="71"/>
        <v>9</v>
      </c>
      <c r="AA71" s="4">
        <f t="shared" si="71"/>
        <v>3</v>
      </c>
      <c r="AB71" s="4">
        <f t="shared" si="71"/>
        <v>7</v>
      </c>
      <c r="AC71" s="4">
        <f t="shared" si="71"/>
        <v>8</v>
      </c>
      <c r="AD71" s="4">
        <f t="shared" si="71"/>
        <v>18</v>
      </c>
      <c r="AE71" s="4">
        <f t="shared" si="71"/>
        <v>1</v>
      </c>
      <c r="AF71" s="4">
        <f t="shared" si="71"/>
        <v>4</v>
      </c>
      <c r="AG71" s="4">
        <f t="shared" si="71"/>
        <v>0</v>
      </c>
      <c r="AH71" s="4">
        <f t="shared" si="71"/>
        <v>0</v>
      </c>
    </row>
    <row r="72">
      <c r="A72" s="7">
        <v>71.0</v>
      </c>
      <c r="B72" s="16">
        <v>42054.0</v>
      </c>
      <c r="C72" s="7" t="s">
        <v>41</v>
      </c>
      <c r="D72" s="7" t="s">
        <v>28</v>
      </c>
      <c r="E72" s="7" t="s">
        <v>10</v>
      </c>
      <c r="F72" s="17" t="s">
        <v>4</v>
      </c>
      <c r="G72" s="9">
        <f t="shared" si="2"/>
        <v>8</v>
      </c>
      <c r="H72" s="7" t="s">
        <v>29</v>
      </c>
      <c r="I72" s="7" t="s">
        <v>28</v>
      </c>
      <c r="J72" s="7" t="s">
        <v>29</v>
      </c>
      <c r="K72" s="7" t="s">
        <v>29</v>
      </c>
      <c r="L72" s="7" t="s">
        <v>29</v>
      </c>
      <c r="M72" s="7" t="s">
        <v>29</v>
      </c>
      <c r="N72" s="7" t="s">
        <v>28</v>
      </c>
      <c r="O72" s="7" t="s">
        <v>29</v>
      </c>
      <c r="P72" s="7" t="s">
        <v>29</v>
      </c>
      <c r="Q72" s="7" t="s">
        <v>28</v>
      </c>
      <c r="R72" s="7" t="s">
        <v>29</v>
      </c>
      <c r="S72" s="12"/>
      <c r="T72" s="13"/>
      <c r="V72" s="4">
        <f t="shared" ref="V72:AH72" si="72">COUNTIF($F$2:$F72,V$1)</f>
        <v>1</v>
      </c>
      <c r="W72" s="4">
        <f t="shared" si="72"/>
        <v>11</v>
      </c>
      <c r="X72" s="4">
        <f t="shared" si="72"/>
        <v>2</v>
      </c>
      <c r="Y72" s="4">
        <f t="shared" si="72"/>
        <v>5</v>
      </c>
      <c r="Z72" s="4">
        <f t="shared" si="72"/>
        <v>10</v>
      </c>
      <c r="AA72" s="4">
        <f t="shared" si="72"/>
        <v>3</v>
      </c>
      <c r="AB72" s="4">
        <f t="shared" si="72"/>
        <v>7</v>
      </c>
      <c r="AC72" s="4">
        <f t="shared" si="72"/>
        <v>8</v>
      </c>
      <c r="AD72" s="4">
        <f t="shared" si="72"/>
        <v>18</v>
      </c>
      <c r="AE72" s="4">
        <f t="shared" si="72"/>
        <v>1</v>
      </c>
      <c r="AF72" s="4">
        <f t="shared" si="72"/>
        <v>4</v>
      </c>
      <c r="AG72" s="4">
        <f t="shared" si="72"/>
        <v>0</v>
      </c>
      <c r="AH72" s="4">
        <f t="shared" si="72"/>
        <v>0</v>
      </c>
    </row>
    <row r="73">
      <c r="A73" s="7">
        <v>72.0</v>
      </c>
      <c r="B73" s="16">
        <v>42084.0</v>
      </c>
      <c r="C73" s="7" t="s">
        <v>41</v>
      </c>
      <c r="D73" s="7" t="s">
        <v>29</v>
      </c>
      <c r="E73" s="7" t="s">
        <v>33</v>
      </c>
      <c r="F73" s="17" t="s">
        <v>4</v>
      </c>
      <c r="G73" s="9">
        <f t="shared" si="2"/>
        <v>8</v>
      </c>
      <c r="H73" s="7" t="s">
        <v>29</v>
      </c>
      <c r="I73" s="7" t="s">
        <v>28</v>
      </c>
      <c r="J73" s="7" t="s">
        <v>29</v>
      </c>
      <c r="K73" s="7" t="s">
        <v>29</v>
      </c>
      <c r="L73" s="7" t="s">
        <v>29</v>
      </c>
      <c r="M73" s="7" t="s">
        <v>29</v>
      </c>
      <c r="N73" s="7" t="s">
        <v>28</v>
      </c>
      <c r="O73" s="7" t="s">
        <v>29</v>
      </c>
      <c r="P73" s="7" t="s">
        <v>29</v>
      </c>
      <c r="Q73" s="7" t="s">
        <v>29</v>
      </c>
      <c r="R73" s="7" t="s">
        <v>28</v>
      </c>
      <c r="S73" s="12"/>
      <c r="T73" s="13"/>
      <c r="V73" s="4">
        <f t="shared" ref="V73:AH73" si="73">COUNTIF($F$2:$F73,V$1)</f>
        <v>1</v>
      </c>
      <c r="W73" s="4">
        <f t="shared" si="73"/>
        <v>11</v>
      </c>
      <c r="X73" s="4">
        <f t="shared" si="73"/>
        <v>2</v>
      </c>
      <c r="Y73" s="4">
        <f t="shared" si="73"/>
        <v>5</v>
      </c>
      <c r="Z73" s="4">
        <f t="shared" si="73"/>
        <v>11</v>
      </c>
      <c r="AA73" s="4">
        <f t="shared" si="73"/>
        <v>3</v>
      </c>
      <c r="AB73" s="4">
        <f t="shared" si="73"/>
        <v>7</v>
      </c>
      <c r="AC73" s="4">
        <f t="shared" si="73"/>
        <v>8</v>
      </c>
      <c r="AD73" s="4">
        <f t="shared" si="73"/>
        <v>18</v>
      </c>
      <c r="AE73" s="4">
        <f t="shared" si="73"/>
        <v>1</v>
      </c>
      <c r="AF73" s="4">
        <f t="shared" si="73"/>
        <v>4</v>
      </c>
      <c r="AG73" s="4">
        <f t="shared" si="73"/>
        <v>0</v>
      </c>
      <c r="AH73" s="4">
        <f t="shared" si="73"/>
        <v>0</v>
      </c>
    </row>
    <row r="74">
      <c r="A74" s="7">
        <v>73.0</v>
      </c>
      <c r="B74" s="16">
        <v>42096.0</v>
      </c>
      <c r="C74" s="7" t="s">
        <v>41</v>
      </c>
      <c r="D74" s="7" t="s">
        <v>29</v>
      </c>
      <c r="E74" s="7" t="s">
        <v>30</v>
      </c>
      <c r="F74" s="17" t="s">
        <v>10</v>
      </c>
      <c r="G74" s="9">
        <f t="shared" si="2"/>
        <v>7</v>
      </c>
      <c r="H74" s="7" t="s">
        <v>28</v>
      </c>
      <c r="I74" s="7" t="s">
        <v>29</v>
      </c>
      <c r="J74" s="7" t="s">
        <v>29</v>
      </c>
      <c r="K74" s="7" t="s">
        <v>29</v>
      </c>
      <c r="L74" s="7" t="s">
        <v>29</v>
      </c>
      <c r="M74" s="7" t="s">
        <v>28</v>
      </c>
      <c r="N74" s="7" t="s">
        <v>28</v>
      </c>
      <c r="O74" s="7" t="s">
        <v>29</v>
      </c>
      <c r="P74" s="7" t="s">
        <v>29</v>
      </c>
      <c r="Q74" s="7" t="s">
        <v>28</v>
      </c>
      <c r="R74" s="7" t="s">
        <v>29</v>
      </c>
      <c r="S74" s="12"/>
      <c r="T74" s="13"/>
      <c r="V74" s="4">
        <f t="shared" ref="V74:AH74" si="74">COUNTIF($F$2:$F74,V$1)</f>
        <v>1</v>
      </c>
      <c r="W74" s="4">
        <f t="shared" si="74"/>
        <v>11</v>
      </c>
      <c r="X74" s="4">
        <f t="shared" si="74"/>
        <v>2</v>
      </c>
      <c r="Y74" s="4">
        <f t="shared" si="74"/>
        <v>5</v>
      </c>
      <c r="Z74" s="4">
        <f t="shared" si="74"/>
        <v>11</v>
      </c>
      <c r="AA74" s="4">
        <f t="shared" si="74"/>
        <v>3</v>
      </c>
      <c r="AB74" s="4">
        <f t="shared" si="74"/>
        <v>7</v>
      </c>
      <c r="AC74" s="4">
        <f t="shared" si="74"/>
        <v>8</v>
      </c>
      <c r="AD74" s="4">
        <f t="shared" si="74"/>
        <v>18</v>
      </c>
      <c r="AE74" s="4">
        <f t="shared" si="74"/>
        <v>1</v>
      </c>
      <c r="AF74" s="4">
        <f t="shared" si="74"/>
        <v>5</v>
      </c>
      <c r="AG74" s="4">
        <f t="shared" si="74"/>
        <v>0</v>
      </c>
      <c r="AH74" s="4">
        <f t="shared" si="74"/>
        <v>0</v>
      </c>
    </row>
    <row r="75">
      <c r="A75" s="7">
        <v>74.0</v>
      </c>
      <c r="B75" s="16">
        <v>42143.0</v>
      </c>
      <c r="C75" s="7" t="s">
        <v>41</v>
      </c>
      <c r="D75" s="7" t="s">
        <v>28</v>
      </c>
      <c r="E75" s="7" t="s">
        <v>2</v>
      </c>
      <c r="F75" s="17" t="s">
        <v>2</v>
      </c>
      <c r="G75" s="9">
        <f t="shared" si="2"/>
        <v>7</v>
      </c>
      <c r="H75" s="7" t="s">
        <v>29</v>
      </c>
      <c r="I75" s="7" t="s">
        <v>28</v>
      </c>
      <c r="J75" s="7" t="s">
        <v>29</v>
      </c>
      <c r="K75" s="7" t="s">
        <v>28</v>
      </c>
      <c r="L75" s="7" t="s">
        <v>29</v>
      </c>
      <c r="M75" s="7" t="s">
        <v>29</v>
      </c>
      <c r="N75" s="7" t="s">
        <v>28</v>
      </c>
      <c r="O75" s="7" t="s">
        <v>29</v>
      </c>
      <c r="P75" s="7" t="s">
        <v>29</v>
      </c>
      <c r="Q75" s="7" t="s">
        <v>29</v>
      </c>
      <c r="R75" s="7" t="s">
        <v>28</v>
      </c>
      <c r="S75" s="12"/>
      <c r="T75" s="13"/>
      <c r="V75" s="4">
        <f t="shared" ref="V75:AH75" si="75">COUNTIF($F$2:$F75,V$1)</f>
        <v>1</v>
      </c>
      <c r="W75" s="4">
        <f t="shared" si="75"/>
        <v>11</v>
      </c>
      <c r="X75" s="4">
        <f t="shared" si="75"/>
        <v>3</v>
      </c>
      <c r="Y75" s="4">
        <f t="shared" si="75"/>
        <v>5</v>
      </c>
      <c r="Z75" s="4">
        <f t="shared" si="75"/>
        <v>11</v>
      </c>
      <c r="AA75" s="4">
        <f t="shared" si="75"/>
        <v>3</v>
      </c>
      <c r="AB75" s="4">
        <f t="shared" si="75"/>
        <v>7</v>
      </c>
      <c r="AC75" s="4">
        <f t="shared" si="75"/>
        <v>8</v>
      </c>
      <c r="AD75" s="4">
        <f t="shared" si="75"/>
        <v>18</v>
      </c>
      <c r="AE75" s="4">
        <f t="shared" si="75"/>
        <v>1</v>
      </c>
      <c r="AF75" s="4">
        <f t="shared" si="75"/>
        <v>5</v>
      </c>
      <c r="AG75" s="4">
        <f t="shared" si="75"/>
        <v>0</v>
      </c>
      <c r="AH75" s="4">
        <f t="shared" si="75"/>
        <v>0</v>
      </c>
    </row>
    <row r="76">
      <c r="A76" s="7">
        <v>75.0</v>
      </c>
      <c r="B76" s="16">
        <v>42171.0</v>
      </c>
      <c r="C76" s="7" t="s">
        <v>41</v>
      </c>
      <c r="D76" s="7" t="s">
        <v>28</v>
      </c>
      <c r="E76" s="7" t="s">
        <v>5</v>
      </c>
      <c r="F76" s="17" t="s">
        <v>8</v>
      </c>
      <c r="G76" s="9">
        <f t="shared" si="2"/>
        <v>8</v>
      </c>
      <c r="H76" s="7" t="s">
        <v>29</v>
      </c>
      <c r="I76" s="7" t="s">
        <v>29</v>
      </c>
      <c r="J76" s="7" t="s">
        <v>29</v>
      </c>
      <c r="K76" s="7" t="s">
        <v>29</v>
      </c>
      <c r="L76" s="7" t="s">
        <v>29</v>
      </c>
      <c r="M76" s="7" t="s">
        <v>29</v>
      </c>
      <c r="N76" s="7" t="s">
        <v>28</v>
      </c>
      <c r="O76" s="7" t="s">
        <v>29</v>
      </c>
      <c r="P76" s="7" t="s">
        <v>29</v>
      </c>
      <c r="Q76" s="7" t="s">
        <v>28</v>
      </c>
      <c r="R76" s="7" t="s">
        <v>28</v>
      </c>
      <c r="S76" s="12"/>
      <c r="T76" s="13"/>
      <c r="V76" s="4">
        <f t="shared" ref="V76:AH76" si="76">COUNTIF($F$2:$F76,V$1)</f>
        <v>1</v>
      </c>
      <c r="W76" s="4">
        <f t="shared" si="76"/>
        <v>11</v>
      </c>
      <c r="X76" s="4">
        <f t="shared" si="76"/>
        <v>3</v>
      </c>
      <c r="Y76" s="4">
        <f t="shared" si="76"/>
        <v>5</v>
      </c>
      <c r="Z76" s="4">
        <f t="shared" si="76"/>
        <v>11</v>
      </c>
      <c r="AA76" s="4">
        <f t="shared" si="76"/>
        <v>3</v>
      </c>
      <c r="AB76" s="4">
        <f t="shared" si="76"/>
        <v>7</v>
      </c>
      <c r="AC76" s="4">
        <f t="shared" si="76"/>
        <v>8</v>
      </c>
      <c r="AD76" s="4">
        <f t="shared" si="76"/>
        <v>19</v>
      </c>
      <c r="AE76" s="4">
        <f t="shared" si="76"/>
        <v>1</v>
      </c>
      <c r="AF76" s="4">
        <f t="shared" si="76"/>
        <v>5</v>
      </c>
      <c r="AG76" s="4">
        <f t="shared" si="76"/>
        <v>0</v>
      </c>
      <c r="AH76" s="4">
        <f t="shared" si="76"/>
        <v>0</v>
      </c>
    </row>
    <row r="77">
      <c r="A77" s="7">
        <v>76.0</v>
      </c>
      <c r="B77" s="16">
        <v>42206.0</v>
      </c>
      <c r="C77" s="7" t="s">
        <v>41</v>
      </c>
      <c r="D77" s="7" t="s">
        <v>28</v>
      </c>
      <c r="E77" s="7" t="s">
        <v>4</v>
      </c>
      <c r="F77" s="17" t="s">
        <v>7</v>
      </c>
      <c r="G77" s="9">
        <f t="shared" si="2"/>
        <v>8</v>
      </c>
      <c r="H77" s="7" t="s">
        <v>29</v>
      </c>
      <c r="I77" s="7" t="s">
        <v>29</v>
      </c>
      <c r="J77" s="7" t="s">
        <v>29</v>
      </c>
      <c r="K77" s="7" t="s">
        <v>28</v>
      </c>
      <c r="L77" s="7" t="s">
        <v>29</v>
      </c>
      <c r="M77" s="7" t="s">
        <v>29</v>
      </c>
      <c r="N77" s="7" t="s">
        <v>28</v>
      </c>
      <c r="O77" s="7" t="s">
        <v>29</v>
      </c>
      <c r="P77" s="7" t="s">
        <v>29</v>
      </c>
      <c r="Q77" s="7" t="s">
        <v>29</v>
      </c>
      <c r="R77" s="7" t="s">
        <v>28</v>
      </c>
      <c r="S77" s="12"/>
      <c r="T77" s="13"/>
      <c r="V77" s="4">
        <f t="shared" ref="V77:AH77" si="77">COUNTIF($F$2:$F77,V$1)</f>
        <v>1</v>
      </c>
      <c r="W77" s="4">
        <f t="shared" si="77"/>
        <v>11</v>
      </c>
      <c r="X77" s="4">
        <f t="shared" si="77"/>
        <v>3</v>
      </c>
      <c r="Y77" s="4">
        <f t="shared" si="77"/>
        <v>5</v>
      </c>
      <c r="Z77" s="4">
        <f t="shared" si="77"/>
        <v>11</v>
      </c>
      <c r="AA77" s="4">
        <f t="shared" si="77"/>
        <v>3</v>
      </c>
      <c r="AB77" s="4">
        <f t="shared" si="77"/>
        <v>7</v>
      </c>
      <c r="AC77" s="4">
        <f t="shared" si="77"/>
        <v>9</v>
      </c>
      <c r="AD77" s="4">
        <f t="shared" si="77"/>
        <v>19</v>
      </c>
      <c r="AE77" s="4">
        <f t="shared" si="77"/>
        <v>1</v>
      </c>
      <c r="AF77" s="4">
        <f t="shared" si="77"/>
        <v>5</v>
      </c>
      <c r="AG77" s="4">
        <f t="shared" si="77"/>
        <v>0</v>
      </c>
      <c r="AH77" s="4">
        <f t="shared" si="77"/>
        <v>0</v>
      </c>
    </row>
    <row r="78">
      <c r="A78" s="7">
        <v>77.0</v>
      </c>
      <c r="B78" s="16">
        <v>42263.0</v>
      </c>
      <c r="C78" s="7" t="s">
        <v>42</v>
      </c>
      <c r="D78" s="7" t="s">
        <v>28</v>
      </c>
      <c r="E78" s="7" t="s">
        <v>0</v>
      </c>
      <c r="F78" s="17" t="s">
        <v>4</v>
      </c>
      <c r="G78" s="9">
        <f t="shared" si="2"/>
        <v>10</v>
      </c>
      <c r="H78" s="7" t="s">
        <v>29</v>
      </c>
      <c r="I78" s="7" t="s">
        <v>29</v>
      </c>
      <c r="J78" s="7" t="s">
        <v>29</v>
      </c>
      <c r="K78" s="7" t="s">
        <v>29</v>
      </c>
      <c r="L78" s="7" t="s">
        <v>29</v>
      </c>
      <c r="M78" s="7" t="s">
        <v>29</v>
      </c>
      <c r="N78" s="7" t="s">
        <v>28</v>
      </c>
      <c r="O78" s="7" t="s">
        <v>29</v>
      </c>
      <c r="P78" s="7" t="s">
        <v>29</v>
      </c>
      <c r="Q78" s="7" t="s">
        <v>29</v>
      </c>
      <c r="R78" s="7" t="s">
        <v>29</v>
      </c>
      <c r="S78" s="12"/>
      <c r="T78" s="13"/>
      <c r="V78" s="4">
        <f t="shared" ref="V78:AH78" si="78">COUNTIF($F$2:$F78,V$1)</f>
        <v>1</v>
      </c>
      <c r="W78" s="4">
        <f t="shared" si="78"/>
        <v>11</v>
      </c>
      <c r="X78" s="4">
        <f t="shared" si="78"/>
        <v>3</v>
      </c>
      <c r="Y78" s="4">
        <f t="shared" si="78"/>
        <v>5</v>
      </c>
      <c r="Z78" s="4">
        <f t="shared" si="78"/>
        <v>12</v>
      </c>
      <c r="AA78" s="4">
        <f t="shared" si="78"/>
        <v>3</v>
      </c>
      <c r="AB78" s="4">
        <f t="shared" si="78"/>
        <v>7</v>
      </c>
      <c r="AC78" s="4">
        <f t="shared" si="78"/>
        <v>9</v>
      </c>
      <c r="AD78" s="4">
        <f t="shared" si="78"/>
        <v>19</v>
      </c>
      <c r="AE78" s="4">
        <f t="shared" si="78"/>
        <v>1</v>
      </c>
      <c r="AF78" s="4">
        <f t="shared" si="78"/>
        <v>5</v>
      </c>
      <c r="AG78" s="4">
        <f t="shared" si="78"/>
        <v>0</v>
      </c>
      <c r="AH78" s="4">
        <f t="shared" si="78"/>
        <v>0</v>
      </c>
    </row>
    <row r="79">
      <c r="A79" s="7">
        <v>78.0</v>
      </c>
      <c r="B79" s="16">
        <v>42290.0</v>
      </c>
      <c r="C79" s="7" t="s">
        <v>42</v>
      </c>
      <c r="D79" s="7" t="s">
        <v>28</v>
      </c>
      <c r="E79" s="7" t="s">
        <v>7</v>
      </c>
      <c r="F79" s="17" t="s">
        <v>1</v>
      </c>
      <c r="G79" s="9">
        <f t="shared" si="2"/>
        <v>9</v>
      </c>
      <c r="H79" s="7" t="s">
        <v>29</v>
      </c>
      <c r="I79" s="7" t="s">
        <v>29</v>
      </c>
      <c r="J79" s="7" t="s">
        <v>29</v>
      </c>
      <c r="K79" s="7" t="s">
        <v>29</v>
      </c>
      <c r="L79" s="7" t="s">
        <v>29</v>
      </c>
      <c r="M79" s="7" t="s">
        <v>29</v>
      </c>
      <c r="N79" s="7" t="s">
        <v>28</v>
      </c>
      <c r="O79" s="7" t="s">
        <v>29</v>
      </c>
      <c r="P79" s="7" t="s">
        <v>29</v>
      </c>
      <c r="Q79" s="7" t="s">
        <v>28</v>
      </c>
      <c r="R79" s="7" t="s">
        <v>29</v>
      </c>
      <c r="S79" s="12"/>
      <c r="T79" s="13"/>
      <c r="V79" s="4">
        <f t="shared" ref="V79:AH79" si="79">COUNTIF($F$2:$F79,V$1)</f>
        <v>1</v>
      </c>
      <c r="W79" s="4">
        <f t="shared" si="79"/>
        <v>12</v>
      </c>
      <c r="X79" s="4">
        <f t="shared" si="79"/>
        <v>3</v>
      </c>
      <c r="Y79" s="4">
        <f t="shared" si="79"/>
        <v>5</v>
      </c>
      <c r="Z79" s="4">
        <f t="shared" si="79"/>
        <v>12</v>
      </c>
      <c r="AA79" s="4">
        <f t="shared" si="79"/>
        <v>3</v>
      </c>
      <c r="AB79" s="4">
        <f t="shared" si="79"/>
        <v>7</v>
      </c>
      <c r="AC79" s="4">
        <f t="shared" si="79"/>
        <v>9</v>
      </c>
      <c r="AD79" s="4">
        <f t="shared" si="79"/>
        <v>19</v>
      </c>
      <c r="AE79" s="4">
        <f t="shared" si="79"/>
        <v>1</v>
      </c>
      <c r="AF79" s="4">
        <f t="shared" si="79"/>
        <v>5</v>
      </c>
      <c r="AG79" s="4">
        <f t="shared" si="79"/>
        <v>0</v>
      </c>
      <c r="AH79" s="4">
        <f t="shared" si="79"/>
        <v>0</v>
      </c>
    </row>
    <row r="80">
      <c r="A80" s="7">
        <v>79.0</v>
      </c>
      <c r="B80" s="18">
        <v>42312.0</v>
      </c>
      <c r="C80" s="7" t="s">
        <v>42</v>
      </c>
      <c r="D80" s="7" t="s">
        <v>28</v>
      </c>
      <c r="E80" s="7" t="s">
        <v>1</v>
      </c>
      <c r="F80" s="17" t="s">
        <v>4</v>
      </c>
      <c r="G80" s="9">
        <f t="shared" si="2"/>
        <v>9</v>
      </c>
      <c r="H80" s="7" t="s">
        <v>29</v>
      </c>
      <c r="I80" s="7" t="s">
        <v>29</v>
      </c>
      <c r="J80" s="7" t="s">
        <v>28</v>
      </c>
      <c r="K80" s="7" t="s">
        <v>29</v>
      </c>
      <c r="L80" s="7" t="s">
        <v>29</v>
      </c>
      <c r="M80" s="7" t="s">
        <v>29</v>
      </c>
      <c r="N80" s="7" t="s">
        <v>28</v>
      </c>
      <c r="O80" s="7" t="s">
        <v>29</v>
      </c>
      <c r="P80" s="7" t="s">
        <v>29</v>
      </c>
      <c r="Q80" s="7" t="s">
        <v>29</v>
      </c>
      <c r="R80" s="7" t="s">
        <v>29</v>
      </c>
      <c r="S80" s="12"/>
      <c r="T80" s="13"/>
      <c r="V80" s="4">
        <f t="shared" ref="V80:AH80" si="80">COUNTIF($F$2:$F80,V$1)</f>
        <v>1</v>
      </c>
      <c r="W80" s="4">
        <f t="shared" si="80"/>
        <v>12</v>
      </c>
      <c r="X80" s="4">
        <f t="shared" si="80"/>
        <v>3</v>
      </c>
      <c r="Y80" s="4">
        <f t="shared" si="80"/>
        <v>5</v>
      </c>
      <c r="Z80" s="4">
        <f t="shared" si="80"/>
        <v>13</v>
      </c>
      <c r="AA80" s="4">
        <f t="shared" si="80"/>
        <v>3</v>
      </c>
      <c r="AB80" s="4">
        <f t="shared" si="80"/>
        <v>7</v>
      </c>
      <c r="AC80" s="4">
        <f t="shared" si="80"/>
        <v>9</v>
      </c>
      <c r="AD80" s="4">
        <f t="shared" si="80"/>
        <v>19</v>
      </c>
      <c r="AE80" s="4">
        <f t="shared" si="80"/>
        <v>1</v>
      </c>
      <c r="AF80" s="4">
        <f t="shared" si="80"/>
        <v>5</v>
      </c>
      <c r="AG80" s="4">
        <f t="shared" si="80"/>
        <v>0</v>
      </c>
      <c r="AH80" s="4">
        <f t="shared" si="80"/>
        <v>0</v>
      </c>
    </row>
    <row r="81">
      <c r="A81" s="7">
        <v>80.0</v>
      </c>
      <c r="B81" s="16">
        <v>42347.0</v>
      </c>
      <c r="C81" s="7" t="s">
        <v>42</v>
      </c>
      <c r="D81" s="7" t="s">
        <v>28</v>
      </c>
      <c r="E81" s="7" t="s">
        <v>8</v>
      </c>
      <c r="F81" s="17" t="s">
        <v>3</v>
      </c>
      <c r="G81" s="9">
        <f t="shared" si="2"/>
        <v>9</v>
      </c>
      <c r="H81" s="7" t="s">
        <v>29</v>
      </c>
      <c r="I81" s="7" t="s">
        <v>29</v>
      </c>
      <c r="J81" s="7" t="s">
        <v>29</v>
      </c>
      <c r="K81" s="7" t="s">
        <v>29</v>
      </c>
      <c r="L81" s="7" t="s">
        <v>28</v>
      </c>
      <c r="M81" s="7" t="s">
        <v>29</v>
      </c>
      <c r="N81" s="7" t="s">
        <v>28</v>
      </c>
      <c r="O81" s="7" t="s">
        <v>29</v>
      </c>
      <c r="P81" s="7" t="s">
        <v>29</v>
      </c>
      <c r="Q81" s="7" t="s">
        <v>29</v>
      </c>
      <c r="R81" s="7" t="s">
        <v>29</v>
      </c>
      <c r="S81" s="12"/>
      <c r="T81" s="13"/>
      <c r="V81" s="4">
        <f t="shared" ref="V81:AH81" si="81">COUNTIF($F$2:$F81,V$1)</f>
        <v>1</v>
      </c>
      <c r="W81" s="4">
        <f t="shared" si="81"/>
        <v>12</v>
      </c>
      <c r="X81" s="4">
        <f t="shared" si="81"/>
        <v>3</v>
      </c>
      <c r="Y81" s="4">
        <f t="shared" si="81"/>
        <v>6</v>
      </c>
      <c r="Z81" s="4">
        <f t="shared" si="81"/>
        <v>13</v>
      </c>
      <c r="AA81" s="4">
        <f t="shared" si="81"/>
        <v>3</v>
      </c>
      <c r="AB81" s="4">
        <f t="shared" si="81"/>
        <v>7</v>
      </c>
      <c r="AC81" s="4">
        <f t="shared" si="81"/>
        <v>9</v>
      </c>
      <c r="AD81" s="4">
        <f t="shared" si="81"/>
        <v>19</v>
      </c>
      <c r="AE81" s="4">
        <f t="shared" si="81"/>
        <v>1</v>
      </c>
      <c r="AF81" s="4">
        <f t="shared" si="81"/>
        <v>5</v>
      </c>
      <c r="AG81" s="4">
        <f t="shared" si="81"/>
        <v>0</v>
      </c>
      <c r="AH81" s="4">
        <f t="shared" si="81"/>
        <v>0</v>
      </c>
    </row>
    <row r="82">
      <c r="A82" s="7">
        <v>81.0</v>
      </c>
      <c r="B82" s="16">
        <v>42368.0</v>
      </c>
      <c r="C82" s="7" t="s">
        <v>42</v>
      </c>
      <c r="D82" s="7" t="s">
        <v>29</v>
      </c>
      <c r="E82" s="7" t="s">
        <v>38</v>
      </c>
      <c r="F82" s="17" t="s">
        <v>7</v>
      </c>
      <c r="G82" s="9">
        <f t="shared" si="2"/>
        <v>7</v>
      </c>
      <c r="H82" s="7" t="s">
        <v>29</v>
      </c>
      <c r="I82" s="7" t="s">
        <v>29</v>
      </c>
      <c r="J82" s="7" t="s">
        <v>29</v>
      </c>
      <c r="K82" s="7" t="s">
        <v>29</v>
      </c>
      <c r="L82" s="7" t="s">
        <v>29</v>
      </c>
      <c r="M82" s="7" t="s">
        <v>28</v>
      </c>
      <c r="N82" s="7" t="s">
        <v>28</v>
      </c>
      <c r="O82" s="7" t="s">
        <v>29</v>
      </c>
      <c r="P82" s="7" t="s">
        <v>29</v>
      </c>
      <c r="Q82" s="7" t="s">
        <v>28</v>
      </c>
      <c r="R82" s="7" t="s">
        <v>28</v>
      </c>
      <c r="S82" s="12"/>
      <c r="T82" s="13"/>
      <c r="V82" s="4">
        <f t="shared" ref="V82:AH82" si="82">COUNTIF($F$2:$F82,V$1)</f>
        <v>1</v>
      </c>
      <c r="W82" s="4">
        <f t="shared" si="82"/>
        <v>12</v>
      </c>
      <c r="X82" s="4">
        <f t="shared" si="82"/>
        <v>3</v>
      </c>
      <c r="Y82" s="4">
        <f t="shared" si="82"/>
        <v>6</v>
      </c>
      <c r="Z82" s="4">
        <f t="shared" si="82"/>
        <v>13</v>
      </c>
      <c r="AA82" s="4">
        <f t="shared" si="82"/>
        <v>3</v>
      </c>
      <c r="AB82" s="4">
        <f t="shared" si="82"/>
        <v>7</v>
      </c>
      <c r="AC82" s="4">
        <f t="shared" si="82"/>
        <v>10</v>
      </c>
      <c r="AD82" s="4">
        <f t="shared" si="82"/>
        <v>19</v>
      </c>
      <c r="AE82" s="4">
        <f t="shared" si="82"/>
        <v>1</v>
      </c>
      <c r="AF82" s="4">
        <f t="shared" si="82"/>
        <v>5</v>
      </c>
      <c r="AG82" s="4">
        <f t="shared" si="82"/>
        <v>0</v>
      </c>
      <c r="AH82" s="4">
        <f t="shared" si="82"/>
        <v>0</v>
      </c>
    </row>
    <row r="83">
      <c r="A83" s="7">
        <v>82.0</v>
      </c>
      <c r="B83" s="16">
        <v>42390.0</v>
      </c>
      <c r="C83" s="7" t="s">
        <v>42</v>
      </c>
      <c r="D83" s="7" t="s">
        <v>28</v>
      </c>
      <c r="E83" s="7" t="s">
        <v>2</v>
      </c>
      <c r="F83" s="17" t="s">
        <v>4</v>
      </c>
      <c r="G83" s="9">
        <f t="shared" si="2"/>
        <v>9</v>
      </c>
      <c r="H83" s="7" t="s">
        <v>29</v>
      </c>
      <c r="I83" s="7" t="s">
        <v>28</v>
      </c>
      <c r="J83" s="7" t="s">
        <v>29</v>
      </c>
      <c r="K83" s="7" t="s">
        <v>29</v>
      </c>
      <c r="L83" s="7" t="s">
        <v>29</v>
      </c>
      <c r="M83" s="7" t="s">
        <v>29</v>
      </c>
      <c r="N83" s="7" t="s">
        <v>28</v>
      </c>
      <c r="O83" s="7" t="s">
        <v>29</v>
      </c>
      <c r="P83" s="7" t="s">
        <v>29</v>
      </c>
      <c r="Q83" s="7" t="s">
        <v>29</v>
      </c>
      <c r="R83" s="7" t="s">
        <v>29</v>
      </c>
      <c r="S83" s="12"/>
      <c r="T83" s="13"/>
      <c r="V83" s="4">
        <f t="shared" ref="V83:AH83" si="83">COUNTIF($F$2:$F83,V$1)</f>
        <v>1</v>
      </c>
      <c r="W83" s="4">
        <f t="shared" si="83"/>
        <v>12</v>
      </c>
      <c r="X83" s="4">
        <f t="shared" si="83"/>
        <v>3</v>
      </c>
      <c r="Y83" s="4">
        <f t="shared" si="83"/>
        <v>6</v>
      </c>
      <c r="Z83" s="4">
        <f t="shared" si="83"/>
        <v>14</v>
      </c>
      <c r="AA83" s="4">
        <f t="shared" si="83"/>
        <v>3</v>
      </c>
      <c r="AB83" s="4">
        <f t="shared" si="83"/>
        <v>7</v>
      </c>
      <c r="AC83" s="4">
        <f t="shared" si="83"/>
        <v>10</v>
      </c>
      <c r="AD83" s="4">
        <f t="shared" si="83"/>
        <v>19</v>
      </c>
      <c r="AE83" s="4">
        <f t="shared" si="83"/>
        <v>1</v>
      </c>
      <c r="AF83" s="4">
        <f t="shared" si="83"/>
        <v>5</v>
      </c>
      <c r="AG83" s="4">
        <f t="shared" si="83"/>
        <v>0</v>
      </c>
      <c r="AH83" s="4">
        <f t="shared" si="83"/>
        <v>0</v>
      </c>
    </row>
    <row r="84">
      <c r="A84" s="7">
        <v>83.0</v>
      </c>
      <c r="B84" s="16">
        <v>42411.0</v>
      </c>
      <c r="C84" s="7" t="s">
        <v>42</v>
      </c>
      <c r="D84" s="7" t="s">
        <v>28</v>
      </c>
      <c r="E84" s="7" t="s">
        <v>10</v>
      </c>
      <c r="F84" s="17" t="s">
        <v>7</v>
      </c>
      <c r="G84" s="9">
        <f t="shared" si="2"/>
        <v>10</v>
      </c>
      <c r="H84" s="7" t="s">
        <v>29</v>
      </c>
      <c r="I84" s="7" t="s">
        <v>29</v>
      </c>
      <c r="J84" s="7" t="s">
        <v>29</v>
      </c>
      <c r="K84" s="7" t="s">
        <v>29</v>
      </c>
      <c r="L84" s="7" t="s">
        <v>29</v>
      </c>
      <c r="M84" s="7" t="s">
        <v>29</v>
      </c>
      <c r="N84" s="7" t="s">
        <v>29</v>
      </c>
      <c r="O84" s="7" t="s">
        <v>29</v>
      </c>
      <c r="P84" s="7" t="s">
        <v>29</v>
      </c>
      <c r="Q84" s="7" t="s">
        <v>28</v>
      </c>
      <c r="R84" s="7" t="s">
        <v>29</v>
      </c>
      <c r="S84" s="12"/>
      <c r="T84" s="13"/>
      <c r="V84" s="4">
        <f t="shared" ref="V84:AH84" si="84">COUNTIF($F$2:$F84,V$1)</f>
        <v>1</v>
      </c>
      <c r="W84" s="4">
        <f t="shared" si="84"/>
        <v>12</v>
      </c>
      <c r="X84" s="4">
        <f t="shared" si="84"/>
        <v>3</v>
      </c>
      <c r="Y84" s="4">
        <f t="shared" si="84"/>
        <v>6</v>
      </c>
      <c r="Z84" s="4">
        <f t="shared" si="84"/>
        <v>14</v>
      </c>
      <c r="AA84" s="4">
        <f t="shared" si="84"/>
        <v>3</v>
      </c>
      <c r="AB84" s="4">
        <f t="shared" si="84"/>
        <v>7</v>
      </c>
      <c r="AC84" s="4">
        <f t="shared" si="84"/>
        <v>11</v>
      </c>
      <c r="AD84" s="4">
        <f t="shared" si="84"/>
        <v>19</v>
      </c>
      <c r="AE84" s="4">
        <f t="shared" si="84"/>
        <v>1</v>
      </c>
      <c r="AF84" s="4">
        <f t="shared" si="84"/>
        <v>5</v>
      </c>
      <c r="AG84" s="4">
        <f t="shared" si="84"/>
        <v>0</v>
      </c>
      <c r="AH84" s="4">
        <f t="shared" si="84"/>
        <v>0</v>
      </c>
    </row>
    <row r="85">
      <c r="A85" s="7">
        <v>84.0</v>
      </c>
      <c r="B85" s="16">
        <v>42453.0</v>
      </c>
      <c r="C85" s="7" t="s">
        <v>42</v>
      </c>
      <c r="D85" s="7" t="s">
        <v>29</v>
      </c>
      <c r="E85" s="7" t="s">
        <v>30</v>
      </c>
      <c r="F85" s="17" t="s">
        <v>3</v>
      </c>
      <c r="G85" s="9">
        <f t="shared" si="2"/>
        <v>8</v>
      </c>
      <c r="H85" s="7" t="s">
        <v>29</v>
      </c>
      <c r="I85" s="7" t="s">
        <v>29</v>
      </c>
      <c r="J85" s="7" t="s">
        <v>29</v>
      </c>
      <c r="K85" s="7" t="s">
        <v>29</v>
      </c>
      <c r="L85" s="7" t="s">
        <v>29</v>
      </c>
      <c r="M85" s="7" t="s">
        <v>29</v>
      </c>
      <c r="N85" s="7" t="s">
        <v>28</v>
      </c>
      <c r="O85" s="19" t="s">
        <v>28</v>
      </c>
      <c r="P85" s="7" t="s">
        <v>29</v>
      </c>
      <c r="Q85" s="7" t="s">
        <v>28</v>
      </c>
      <c r="R85" s="7" t="s">
        <v>29</v>
      </c>
      <c r="S85" s="12"/>
      <c r="T85" s="13"/>
      <c r="V85" s="4">
        <f t="shared" ref="V85:AH85" si="85">COUNTIF($F$2:$F85,V$1)</f>
        <v>1</v>
      </c>
      <c r="W85" s="4">
        <f t="shared" si="85"/>
        <v>12</v>
      </c>
      <c r="X85" s="4">
        <f t="shared" si="85"/>
        <v>3</v>
      </c>
      <c r="Y85" s="4">
        <f t="shared" si="85"/>
        <v>7</v>
      </c>
      <c r="Z85" s="4">
        <f t="shared" si="85"/>
        <v>14</v>
      </c>
      <c r="AA85" s="4">
        <f t="shared" si="85"/>
        <v>3</v>
      </c>
      <c r="AB85" s="4">
        <f t="shared" si="85"/>
        <v>7</v>
      </c>
      <c r="AC85" s="4">
        <f t="shared" si="85"/>
        <v>11</v>
      </c>
      <c r="AD85" s="4">
        <f t="shared" si="85"/>
        <v>19</v>
      </c>
      <c r="AE85" s="4">
        <f t="shared" si="85"/>
        <v>1</v>
      </c>
      <c r="AF85" s="4">
        <f t="shared" si="85"/>
        <v>5</v>
      </c>
      <c r="AG85" s="4">
        <f t="shared" si="85"/>
        <v>0</v>
      </c>
      <c r="AH85" s="4">
        <f t="shared" si="85"/>
        <v>0</v>
      </c>
    </row>
    <row r="86">
      <c r="A86" s="7">
        <v>85.0</v>
      </c>
      <c r="B86" s="16">
        <v>42488.0</v>
      </c>
      <c r="C86" s="7" t="s">
        <v>42</v>
      </c>
      <c r="D86" s="7" t="s">
        <v>28</v>
      </c>
      <c r="E86" s="7" t="s">
        <v>9</v>
      </c>
      <c r="F86" s="17" t="s">
        <v>8</v>
      </c>
      <c r="G86" s="9">
        <f t="shared" si="2"/>
        <v>8</v>
      </c>
      <c r="H86" s="7" t="s">
        <v>29</v>
      </c>
      <c r="I86" s="7" t="s">
        <v>29</v>
      </c>
      <c r="J86" s="7" t="s">
        <v>29</v>
      </c>
      <c r="K86" s="7" t="s">
        <v>29</v>
      </c>
      <c r="L86" s="7" t="s">
        <v>29</v>
      </c>
      <c r="M86" s="7" t="s">
        <v>28</v>
      </c>
      <c r="N86" s="7" t="s">
        <v>28</v>
      </c>
      <c r="O86" s="19" t="s">
        <v>28</v>
      </c>
      <c r="P86" s="7" t="s">
        <v>29</v>
      </c>
      <c r="Q86" s="7" t="s">
        <v>29</v>
      </c>
      <c r="R86" s="7" t="s">
        <v>29</v>
      </c>
      <c r="S86" s="12"/>
      <c r="T86" s="13"/>
      <c r="V86" s="4">
        <f t="shared" ref="V86:AH86" si="86">COUNTIF($F$2:$F86,V$1)</f>
        <v>1</v>
      </c>
      <c r="W86" s="4">
        <f t="shared" si="86"/>
        <v>12</v>
      </c>
      <c r="X86" s="4">
        <f t="shared" si="86"/>
        <v>3</v>
      </c>
      <c r="Y86" s="4">
        <f t="shared" si="86"/>
        <v>7</v>
      </c>
      <c r="Z86" s="4">
        <f t="shared" si="86"/>
        <v>14</v>
      </c>
      <c r="AA86" s="4">
        <f t="shared" si="86"/>
        <v>3</v>
      </c>
      <c r="AB86" s="4">
        <f t="shared" si="86"/>
        <v>7</v>
      </c>
      <c r="AC86" s="4">
        <f t="shared" si="86"/>
        <v>11</v>
      </c>
      <c r="AD86" s="4">
        <f t="shared" si="86"/>
        <v>20</v>
      </c>
      <c r="AE86" s="4">
        <f t="shared" si="86"/>
        <v>1</v>
      </c>
      <c r="AF86" s="4">
        <f t="shared" si="86"/>
        <v>5</v>
      </c>
      <c r="AG86" s="4">
        <f t="shared" si="86"/>
        <v>0</v>
      </c>
      <c r="AH86" s="4">
        <f t="shared" si="86"/>
        <v>0</v>
      </c>
    </row>
    <row r="87">
      <c r="A87" s="7">
        <v>86.0</v>
      </c>
      <c r="B87" s="16">
        <v>42521.0</v>
      </c>
      <c r="C87" s="7" t="s">
        <v>42</v>
      </c>
      <c r="D87" s="7" t="s">
        <v>28</v>
      </c>
      <c r="E87" s="7" t="s">
        <v>5</v>
      </c>
      <c r="F87" s="17" t="s">
        <v>1</v>
      </c>
      <c r="G87" s="9">
        <f t="shared" si="2"/>
        <v>7</v>
      </c>
      <c r="H87" s="7" t="s">
        <v>29</v>
      </c>
      <c r="I87" s="7" t="s">
        <v>29</v>
      </c>
      <c r="J87" s="7" t="s">
        <v>29</v>
      </c>
      <c r="K87" s="7" t="s">
        <v>29</v>
      </c>
      <c r="L87" s="7" t="s">
        <v>29</v>
      </c>
      <c r="M87" s="7" t="s">
        <v>29</v>
      </c>
      <c r="N87" s="7" t="s">
        <v>28</v>
      </c>
      <c r="O87" s="19" t="s">
        <v>28</v>
      </c>
      <c r="P87" s="7" t="s">
        <v>29</v>
      </c>
      <c r="Q87" s="7" t="s">
        <v>28</v>
      </c>
      <c r="R87" s="7" t="s">
        <v>28</v>
      </c>
      <c r="S87" s="12"/>
      <c r="T87" s="13"/>
      <c r="V87" s="4">
        <f t="shared" ref="V87:AH87" si="87">COUNTIF($F$2:$F87,V$1)</f>
        <v>1</v>
      </c>
      <c r="W87" s="4">
        <f t="shared" si="87"/>
        <v>13</v>
      </c>
      <c r="X87" s="4">
        <f t="shared" si="87"/>
        <v>3</v>
      </c>
      <c r="Y87" s="4">
        <f t="shared" si="87"/>
        <v>7</v>
      </c>
      <c r="Z87" s="4">
        <f t="shared" si="87"/>
        <v>14</v>
      </c>
      <c r="AA87" s="4">
        <f t="shared" si="87"/>
        <v>3</v>
      </c>
      <c r="AB87" s="4">
        <f t="shared" si="87"/>
        <v>7</v>
      </c>
      <c r="AC87" s="4">
        <f t="shared" si="87"/>
        <v>11</v>
      </c>
      <c r="AD87" s="4">
        <f t="shared" si="87"/>
        <v>20</v>
      </c>
      <c r="AE87" s="4">
        <f t="shared" si="87"/>
        <v>1</v>
      </c>
      <c r="AF87" s="4">
        <f t="shared" si="87"/>
        <v>5</v>
      </c>
      <c r="AG87" s="4">
        <f t="shared" si="87"/>
        <v>0</v>
      </c>
      <c r="AH87" s="4">
        <f t="shared" si="87"/>
        <v>0</v>
      </c>
    </row>
    <row r="88">
      <c r="A88" s="7">
        <v>87.0</v>
      </c>
      <c r="B88" s="16">
        <v>42538.0</v>
      </c>
      <c r="C88" s="7" t="s">
        <v>42</v>
      </c>
      <c r="D88" s="7" t="s">
        <v>29</v>
      </c>
      <c r="E88" s="7" t="s">
        <v>43</v>
      </c>
      <c r="F88" s="17" t="s">
        <v>8</v>
      </c>
      <c r="G88" s="9">
        <f t="shared" si="2"/>
        <v>7</v>
      </c>
      <c r="H88" s="7" t="s">
        <v>29</v>
      </c>
      <c r="I88" s="7" t="s">
        <v>29</v>
      </c>
      <c r="J88" s="7" t="s">
        <v>29</v>
      </c>
      <c r="K88" s="7" t="s">
        <v>29</v>
      </c>
      <c r="L88" s="7" t="s">
        <v>29</v>
      </c>
      <c r="M88" s="7" t="s">
        <v>29</v>
      </c>
      <c r="N88" s="7" t="s">
        <v>28</v>
      </c>
      <c r="O88" s="19" t="s">
        <v>28</v>
      </c>
      <c r="P88" s="7" t="s">
        <v>29</v>
      </c>
      <c r="Q88" s="7" t="s">
        <v>28</v>
      </c>
      <c r="R88" s="7" t="s">
        <v>28</v>
      </c>
      <c r="S88" s="12"/>
      <c r="T88" s="13"/>
      <c r="V88" s="4">
        <f t="shared" ref="V88:AH88" si="88">COUNTIF($F$2:$F88,V$1)</f>
        <v>1</v>
      </c>
      <c r="W88" s="4">
        <f t="shared" si="88"/>
        <v>13</v>
      </c>
      <c r="X88" s="4">
        <f t="shared" si="88"/>
        <v>3</v>
      </c>
      <c r="Y88" s="4">
        <f t="shared" si="88"/>
        <v>7</v>
      </c>
      <c r="Z88" s="4">
        <f t="shared" si="88"/>
        <v>14</v>
      </c>
      <c r="AA88" s="4">
        <f t="shared" si="88"/>
        <v>3</v>
      </c>
      <c r="AB88" s="4">
        <f t="shared" si="88"/>
        <v>7</v>
      </c>
      <c r="AC88" s="4">
        <f t="shared" si="88"/>
        <v>11</v>
      </c>
      <c r="AD88" s="4">
        <f t="shared" si="88"/>
        <v>21</v>
      </c>
      <c r="AE88" s="4">
        <f t="shared" si="88"/>
        <v>1</v>
      </c>
      <c r="AF88" s="4">
        <f t="shared" si="88"/>
        <v>5</v>
      </c>
      <c r="AG88" s="4">
        <f t="shared" si="88"/>
        <v>0</v>
      </c>
      <c r="AH88" s="4">
        <f t="shared" si="88"/>
        <v>0</v>
      </c>
    </row>
    <row r="89">
      <c r="A89" s="7">
        <v>88.0</v>
      </c>
      <c r="B89" s="16">
        <v>42577.0</v>
      </c>
      <c r="C89" s="7" t="s">
        <v>42</v>
      </c>
      <c r="D89" s="7" t="s">
        <v>28</v>
      </c>
      <c r="E89" s="7" t="s">
        <v>0</v>
      </c>
      <c r="F89" s="17" t="s">
        <v>5</v>
      </c>
      <c r="G89" s="9">
        <f t="shared" si="2"/>
        <v>7</v>
      </c>
      <c r="H89" s="7" t="s">
        <v>29</v>
      </c>
      <c r="I89" s="7" t="s">
        <v>28</v>
      </c>
      <c r="J89" s="7" t="s">
        <v>29</v>
      </c>
      <c r="K89" s="7" t="s">
        <v>29</v>
      </c>
      <c r="L89" s="7" t="s">
        <v>29</v>
      </c>
      <c r="M89" s="7" t="s">
        <v>29</v>
      </c>
      <c r="N89" s="7" t="s">
        <v>28</v>
      </c>
      <c r="O89" s="19" t="s">
        <v>28</v>
      </c>
      <c r="P89" s="7" t="s">
        <v>29</v>
      </c>
      <c r="Q89" s="7" t="s">
        <v>28</v>
      </c>
      <c r="R89" s="7" t="s">
        <v>29</v>
      </c>
      <c r="S89" s="12"/>
      <c r="T89" s="13"/>
      <c r="V89" s="4">
        <f t="shared" ref="V89:AH89" si="89">COUNTIF($F$2:$F89,V$1)</f>
        <v>1</v>
      </c>
      <c r="W89" s="4">
        <f t="shared" si="89"/>
        <v>13</v>
      </c>
      <c r="X89" s="4">
        <f t="shared" si="89"/>
        <v>3</v>
      </c>
      <c r="Y89" s="4">
        <f t="shared" si="89"/>
        <v>7</v>
      </c>
      <c r="Z89" s="4">
        <f t="shared" si="89"/>
        <v>14</v>
      </c>
      <c r="AA89" s="4">
        <f t="shared" si="89"/>
        <v>4</v>
      </c>
      <c r="AB89" s="4">
        <f t="shared" si="89"/>
        <v>7</v>
      </c>
      <c r="AC89" s="4">
        <f t="shared" si="89"/>
        <v>11</v>
      </c>
      <c r="AD89" s="4">
        <f t="shared" si="89"/>
        <v>21</v>
      </c>
      <c r="AE89" s="4">
        <f t="shared" si="89"/>
        <v>1</v>
      </c>
      <c r="AF89" s="4">
        <f t="shared" si="89"/>
        <v>5</v>
      </c>
      <c r="AG89" s="4">
        <f t="shared" si="89"/>
        <v>0</v>
      </c>
      <c r="AH89" s="4">
        <f t="shared" si="89"/>
        <v>0</v>
      </c>
    </row>
    <row r="90">
      <c r="A90" s="7">
        <v>89.0</v>
      </c>
      <c r="B90" s="16">
        <v>42633.0</v>
      </c>
      <c r="C90" s="7" t="s">
        <v>44</v>
      </c>
      <c r="D90" s="7" t="s">
        <v>28</v>
      </c>
      <c r="E90" s="7" t="s">
        <v>1</v>
      </c>
      <c r="F90" s="17" t="s">
        <v>2</v>
      </c>
      <c r="G90" s="9">
        <f t="shared" si="2"/>
        <v>10</v>
      </c>
      <c r="H90" s="7" t="s">
        <v>29</v>
      </c>
      <c r="I90" s="7" t="s">
        <v>29</v>
      </c>
      <c r="J90" s="7" t="s">
        <v>29</v>
      </c>
      <c r="K90" s="7" t="s">
        <v>29</v>
      </c>
      <c r="L90" s="7" t="s">
        <v>29</v>
      </c>
      <c r="M90" s="7" t="s">
        <v>29</v>
      </c>
      <c r="N90" s="7" t="s">
        <v>29</v>
      </c>
      <c r="O90" s="19" t="s">
        <v>28</v>
      </c>
      <c r="P90" s="7" t="s">
        <v>29</v>
      </c>
      <c r="Q90" s="7" t="s">
        <v>29</v>
      </c>
      <c r="R90" s="7" t="s">
        <v>29</v>
      </c>
      <c r="S90" s="12"/>
      <c r="T90" s="13"/>
      <c r="V90" s="4">
        <f t="shared" ref="V90:AH90" si="90">COUNTIF($F$2:$F90,V$1)</f>
        <v>1</v>
      </c>
      <c r="W90" s="4">
        <f t="shared" si="90"/>
        <v>13</v>
      </c>
      <c r="X90" s="4">
        <f t="shared" si="90"/>
        <v>4</v>
      </c>
      <c r="Y90" s="4">
        <f t="shared" si="90"/>
        <v>7</v>
      </c>
      <c r="Z90" s="4">
        <f t="shared" si="90"/>
        <v>14</v>
      </c>
      <c r="AA90" s="4">
        <f t="shared" si="90"/>
        <v>4</v>
      </c>
      <c r="AB90" s="4">
        <f t="shared" si="90"/>
        <v>7</v>
      </c>
      <c r="AC90" s="4">
        <f t="shared" si="90"/>
        <v>11</v>
      </c>
      <c r="AD90" s="4">
        <f t="shared" si="90"/>
        <v>21</v>
      </c>
      <c r="AE90" s="4">
        <f t="shared" si="90"/>
        <v>1</v>
      </c>
      <c r="AF90" s="4">
        <f t="shared" si="90"/>
        <v>5</v>
      </c>
      <c r="AG90" s="4">
        <f t="shared" si="90"/>
        <v>0</v>
      </c>
      <c r="AH90" s="4">
        <f t="shared" si="90"/>
        <v>0</v>
      </c>
    </row>
    <row r="91">
      <c r="A91" s="7">
        <v>90.0</v>
      </c>
      <c r="B91" s="16">
        <v>42663.0</v>
      </c>
      <c r="C91" s="7" t="s">
        <v>44</v>
      </c>
      <c r="D91" s="7" t="s">
        <v>28</v>
      </c>
      <c r="E91" s="7" t="s">
        <v>8</v>
      </c>
      <c r="F91" s="17" t="s">
        <v>10</v>
      </c>
      <c r="G91" s="9">
        <f t="shared" si="2"/>
        <v>8</v>
      </c>
      <c r="H91" s="7" t="s">
        <v>29</v>
      </c>
      <c r="I91" s="7" t="s">
        <v>29</v>
      </c>
      <c r="J91" s="7" t="s">
        <v>29</v>
      </c>
      <c r="K91" s="7" t="s">
        <v>29</v>
      </c>
      <c r="L91" s="7" t="s">
        <v>29</v>
      </c>
      <c r="M91" s="7" t="s">
        <v>28</v>
      </c>
      <c r="N91" s="7" t="s">
        <v>28</v>
      </c>
      <c r="O91" s="19" t="s">
        <v>28</v>
      </c>
      <c r="P91" s="7" t="s">
        <v>29</v>
      </c>
      <c r="Q91" s="7" t="s">
        <v>29</v>
      </c>
      <c r="R91" s="7" t="s">
        <v>29</v>
      </c>
      <c r="S91" s="12"/>
      <c r="T91" s="13"/>
      <c r="V91" s="4">
        <f t="shared" ref="V91:AH91" si="91">COUNTIF($F$2:$F91,V$1)</f>
        <v>1</v>
      </c>
      <c r="W91" s="4">
        <f t="shared" si="91"/>
        <v>13</v>
      </c>
      <c r="X91" s="4">
        <f t="shared" si="91"/>
        <v>4</v>
      </c>
      <c r="Y91" s="4">
        <f t="shared" si="91"/>
        <v>7</v>
      </c>
      <c r="Z91" s="4">
        <f t="shared" si="91"/>
        <v>14</v>
      </c>
      <c r="AA91" s="4">
        <f t="shared" si="91"/>
        <v>4</v>
      </c>
      <c r="AB91" s="4">
        <f t="shared" si="91"/>
        <v>7</v>
      </c>
      <c r="AC91" s="4">
        <f t="shared" si="91"/>
        <v>11</v>
      </c>
      <c r="AD91" s="4">
        <f t="shared" si="91"/>
        <v>21</v>
      </c>
      <c r="AE91" s="4">
        <f t="shared" si="91"/>
        <v>1</v>
      </c>
      <c r="AF91" s="4">
        <f t="shared" si="91"/>
        <v>6</v>
      </c>
      <c r="AG91" s="4">
        <f t="shared" si="91"/>
        <v>0</v>
      </c>
      <c r="AH91" s="4">
        <f t="shared" si="91"/>
        <v>0</v>
      </c>
    </row>
    <row r="92">
      <c r="A92" s="7">
        <v>91.0</v>
      </c>
      <c r="B92" s="16">
        <v>42703.0</v>
      </c>
      <c r="C92" s="7" t="s">
        <v>44</v>
      </c>
      <c r="D92" s="7" t="s">
        <v>28</v>
      </c>
      <c r="E92" s="7" t="s">
        <v>2</v>
      </c>
      <c r="F92" s="17" t="s">
        <v>3</v>
      </c>
      <c r="G92" s="9">
        <f t="shared" si="2"/>
        <v>7</v>
      </c>
      <c r="H92" s="7" t="s">
        <v>29</v>
      </c>
      <c r="I92" s="7" t="s">
        <v>29</v>
      </c>
      <c r="J92" s="7" t="s">
        <v>29</v>
      </c>
      <c r="K92" s="7" t="s">
        <v>29</v>
      </c>
      <c r="L92" s="7" t="s">
        <v>29</v>
      </c>
      <c r="M92" s="7" t="s">
        <v>29</v>
      </c>
      <c r="N92" s="7" t="s">
        <v>28</v>
      </c>
      <c r="O92" s="19" t="s">
        <v>28</v>
      </c>
      <c r="P92" s="7" t="s">
        <v>29</v>
      </c>
      <c r="Q92" s="7" t="s">
        <v>28</v>
      </c>
      <c r="R92" s="7" t="s">
        <v>28</v>
      </c>
      <c r="S92" s="12"/>
      <c r="T92" s="13"/>
      <c r="V92" s="4">
        <f t="shared" ref="V92:AH92" si="92">COUNTIF($F$2:$F92,V$1)</f>
        <v>1</v>
      </c>
      <c r="W92" s="4">
        <f t="shared" si="92"/>
        <v>13</v>
      </c>
      <c r="X92" s="4">
        <f t="shared" si="92"/>
        <v>4</v>
      </c>
      <c r="Y92" s="4">
        <f t="shared" si="92"/>
        <v>8</v>
      </c>
      <c r="Z92" s="4">
        <f t="shared" si="92"/>
        <v>14</v>
      </c>
      <c r="AA92" s="4">
        <f t="shared" si="92"/>
        <v>4</v>
      </c>
      <c r="AB92" s="4">
        <f t="shared" si="92"/>
        <v>7</v>
      </c>
      <c r="AC92" s="4">
        <f t="shared" si="92"/>
        <v>11</v>
      </c>
      <c r="AD92" s="4">
        <f t="shared" si="92"/>
        <v>21</v>
      </c>
      <c r="AE92" s="4">
        <f t="shared" si="92"/>
        <v>1</v>
      </c>
      <c r="AF92" s="4">
        <f t="shared" si="92"/>
        <v>6</v>
      </c>
      <c r="AG92" s="4">
        <f t="shared" si="92"/>
        <v>0</v>
      </c>
      <c r="AH92" s="4">
        <f t="shared" si="92"/>
        <v>0</v>
      </c>
    </row>
    <row r="93">
      <c r="A93" s="7">
        <v>92.0</v>
      </c>
      <c r="B93" s="16">
        <v>42735.0</v>
      </c>
      <c r="C93" s="7" t="s">
        <v>44</v>
      </c>
      <c r="D93" s="7" t="s">
        <v>29</v>
      </c>
      <c r="E93" s="7" t="s">
        <v>38</v>
      </c>
      <c r="F93" s="17" t="s">
        <v>1</v>
      </c>
      <c r="G93" s="9">
        <f t="shared" si="2"/>
        <v>8</v>
      </c>
      <c r="H93" s="7" t="s">
        <v>29</v>
      </c>
      <c r="I93" s="7" t="s">
        <v>29</v>
      </c>
      <c r="J93" s="7" t="s">
        <v>28</v>
      </c>
      <c r="K93" s="7" t="s">
        <v>29</v>
      </c>
      <c r="L93" s="7" t="s">
        <v>29</v>
      </c>
      <c r="M93" s="7" t="s">
        <v>29</v>
      </c>
      <c r="N93" s="7" t="s">
        <v>28</v>
      </c>
      <c r="O93" s="19" t="s">
        <v>29</v>
      </c>
      <c r="P93" s="7" t="s">
        <v>29</v>
      </c>
      <c r="Q93" s="7" t="s">
        <v>29</v>
      </c>
      <c r="R93" s="7" t="s">
        <v>28</v>
      </c>
      <c r="S93" s="12"/>
      <c r="T93" s="13"/>
      <c r="V93" s="4">
        <f t="shared" ref="V93:AH93" si="93">COUNTIF($F$2:$F93,V$1)</f>
        <v>1</v>
      </c>
      <c r="W93" s="4">
        <f t="shared" si="93"/>
        <v>14</v>
      </c>
      <c r="X93" s="4">
        <f t="shared" si="93"/>
        <v>4</v>
      </c>
      <c r="Y93" s="4">
        <f t="shared" si="93"/>
        <v>8</v>
      </c>
      <c r="Z93" s="4">
        <f t="shared" si="93"/>
        <v>14</v>
      </c>
      <c r="AA93" s="4">
        <f t="shared" si="93"/>
        <v>4</v>
      </c>
      <c r="AB93" s="4">
        <f t="shared" si="93"/>
        <v>7</v>
      </c>
      <c r="AC93" s="4">
        <f t="shared" si="93"/>
        <v>11</v>
      </c>
      <c r="AD93" s="4">
        <f t="shared" si="93"/>
        <v>21</v>
      </c>
      <c r="AE93" s="4">
        <f t="shared" si="93"/>
        <v>1</v>
      </c>
      <c r="AF93" s="4">
        <f t="shared" si="93"/>
        <v>6</v>
      </c>
      <c r="AG93" s="4">
        <f t="shared" si="93"/>
        <v>0</v>
      </c>
      <c r="AH93" s="4">
        <f t="shared" si="93"/>
        <v>0</v>
      </c>
    </row>
    <row r="94">
      <c r="A94" s="7">
        <v>93.0</v>
      </c>
      <c r="B94" s="16">
        <v>42758.0</v>
      </c>
      <c r="C94" s="7" t="s">
        <v>44</v>
      </c>
      <c r="D94" s="7" t="s">
        <v>28</v>
      </c>
      <c r="E94" s="7" t="s">
        <v>9</v>
      </c>
      <c r="F94" s="17" t="s">
        <v>3</v>
      </c>
      <c r="G94" s="9">
        <f t="shared" si="2"/>
        <v>8</v>
      </c>
      <c r="H94" s="7" t="s">
        <v>29</v>
      </c>
      <c r="I94" s="7" t="s">
        <v>29</v>
      </c>
      <c r="J94" s="7" t="s">
        <v>29</v>
      </c>
      <c r="K94" s="7" t="s">
        <v>29</v>
      </c>
      <c r="L94" s="7" t="s">
        <v>29</v>
      </c>
      <c r="M94" s="7" t="s">
        <v>29</v>
      </c>
      <c r="N94" s="7" t="s">
        <v>28</v>
      </c>
      <c r="O94" s="19" t="s">
        <v>28</v>
      </c>
      <c r="P94" s="7" t="s">
        <v>29</v>
      </c>
      <c r="Q94" s="7" t="s">
        <v>29</v>
      </c>
      <c r="R94" s="7" t="s">
        <v>28</v>
      </c>
      <c r="S94" s="12"/>
      <c r="T94" s="13"/>
      <c r="V94" s="4">
        <f t="shared" ref="V94:AH94" si="94">COUNTIF($F$2:$F94,V$1)</f>
        <v>1</v>
      </c>
      <c r="W94" s="4">
        <f t="shared" si="94"/>
        <v>14</v>
      </c>
      <c r="X94" s="4">
        <f t="shared" si="94"/>
        <v>4</v>
      </c>
      <c r="Y94" s="4">
        <f t="shared" si="94"/>
        <v>9</v>
      </c>
      <c r="Z94" s="4">
        <f t="shared" si="94"/>
        <v>14</v>
      </c>
      <c r="AA94" s="4">
        <f t="shared" si="94"/>
        <v>4</v>
      </c>
      <c r="AB94" s="4">
        <f t="shared" si="94"/>
        <v>7</v>
      </c>
      <c r="AC94" s="4">
        <f t="shared" si="94"/>
        <v>11</v>
      </c>
      <c r="AD94" s="4">
        <f t="shared" si="94"/>
        <v>21</v>
      </c>
      <c r="AE94" s="4">
        <f t="shared" si="94"/>
        <v>1</v>
      </c>
      <c r="AF94" s="4">
        <f t="shared" si="94"/>
        <v>6</v>
      </c>
      <c r="AG94" s="4">
        <f t="shared" si="94"/>
        <v>0</v>
      </c>
      <c r="AH94" s="4">
        <f t="shared" si="94"/>
        <v>0</v>
      </c>
    </row>
    <row r="95">
      <c r="A95" s="7">
        <v>94.0</v>
      </c>
      <c r="B95" s="16">
        <v>42782.0</v>
      </c>
      <c r="C95" s="7" t="s">
        <v>44</v>
      </c>
      <c r="D95" s="7" t="s">
        <v>28</v>
      </c>
      <c r="E95" s="7" t="s">
        <v>4</v>
      </c>
      <c r="F95" s="17" t="s">
        <v>4</v>
      </c>
      <c r="G95" s="9">
        <f t="shared" si="2"/>
        <v>6</v>
      </c>
      <c r="H95" s="7" t="s">
        <v>29</v>
      </c>
      <c r="I95" s="7" t="s">
        <v>29</v>
      </c>
      <c r="J95" s="7" t="s">
        <v>29</v>
      </c>
      <c r="K95" s="7" t="s">
        <v>29</v>
      </c>
      <c r="L95" s="7" t="s">
        <v>29</v>
      </c>
      <c r="M95" s="7" t="s">
        <v>28</v>
      </c>
      <c r="N95" s="7" t="s">
        <v>28</v>
      </c>
      <c r="O95" s="19" t="s">
        <v>28</v>
      </c>
      <c r="P95" s="7" t="s">
        <v>29</v>
      </c>
      <c r="Q95" s="7" t="s">
        <v>28</v>
      </c>
      <c r="R95" s="7" t="s">
        <v>28</v>
      </c>
      <c r="S95" s="12"/>
      <c r="T95" s="13"/>
      <c r="V95" s="4">
        <f t="shared" ref="V95:AH95" si="95">COUNTIF($F$2:$F95,V$1)</f>
        <v>1</v>
      </c>
      <c r="W95" s="4">
        <f t="shared" si="95"/>
        <v>14</v>
      </c>
      <c r="X95" s="4">
        <f t="shared" si="95"/>
        <v>4</v>
      </c>
      <c r="Y95" s="4">
        <f t="shared" si="95"/>
        <v>9</v>
      </c>
      <c r="Z95" s="4">
        <f t="shared" si="95"/>
        <v>15</v>
      </c>
      <c r="AA95" s="4">
        <f t="shared" si="95"/>
        <v>4</v>
      </c>
      <c r="AB95" s="4">
        <f t="shared" si="95"/>
        <v>7</v>
      </c>
      <c r="AC95" s="4">
        <f t="shared" si="95"/>
        <v>11</v>
      </c>
      <c r="AD95" s="4">
        <f t="shared" si="95"/>
        <v>21</v>
      </c>
      <c r="AE95" s="4">
        <f t="shared" si="95"/>
        <v>1</v>
      </c>
      <c r="AF95" s="4">
        <f t="shared" si="95"/>
        <v>6</v>
      </c>
      <c r="AG95" s="4">
        <f t="shared" si="95"/>
        <v>0</v>
      </c>
      <c r="AH95" s="4">
        <f t="shared" si="95"/>
        <v>0</v>
      </c>
    </row>
    <row r="96">
      <c r="A96" s="7">
        <v>95.0</v>
      </c>
      <c r="B96" s="16">
        <v>42817.0</v>
      </c>
      <c r="C96" s="7" t="s">
        <v>44</v>
      </c>
      <c r="D96" s="7" t="s">
        <v>28</v>
      </c>
      <c r="E96" s="7" t="s">
        <v>10</v>
      </c>
      <c r="F96" s="17" t="s">
        <v>4</v>
      </c>
      <c r="G96" s="9">
        <f t="shared" si="2"/>
        <v>7</v>
      </c>
      <c r="H96" s="7" t="s">
        <v>29</v>
      </c>
      <c r="I96" s="7" t="s">
        <v>29</v>
      </c>
      <c r="J96" s="7" t="s">
        <v>29</v>
      </c>
      <c r="K96" s="7" t="s">
        <v>29</v>
      </c>
      <c r="L96" s="7" t="s">
        <v>29</v>
      </c>
      <c r="M96" s="7" t="s">
        <v>28</v>
      </c>
      <c r="N96" s="7" t="s">
        <v>28</v>
      </c>
      <c r="O96" s="19" t="s">
        <v>28</v>
      </c>
      <c r="P96" s="7" t="s">
        <v>29</v>
      </c>
      <c r="Q96" s="7" t="s">
        <v>28</v>
      </c>
      <c r="R96" s="7" t="s">
        <v>29</v>
      </c>
      <c r="S96" s="12"/>
      <c r="T96" s="13"/>
      <c r="V96" s="4">
        <f t="shared" ref="V96:AH96" si="96">COUNTIF($F$2:$F96,V$1)</f>
        <v>1</v>
      </c>
      <c r="W96" s="4">
        <f t="shared" si="96"/>
        <v>14</v>
      </c>
      <c r="X96" s="4">
        <f t="shared" si="96"/>
        <v>4</v>
      </c>
      <c r="Y96" s="4">
        <f t="shared" si="96"/>
        <v>9</v>
      </c>
      <c r="Z96" s="4">
        <f t="shared" si="96"/>
        <v>16</v>
      </c>
      <c r="AA96" s="4">
        <f t="shared" si="96"/>
        <v>4</v>
      </c>
      <c r="AB96" s="4">
        <f t="shared" si="96"/>
        <v>7</v>
      </c>
      <c r="AC96" s="4">
        <f t="shared" si="96"/>
        <v>11</v>
      </c>
      <c r="AD96" s="4">
        <f t="shared" si="96"/>
        <v>21</v>
      </c>
      <c r="AE96" s="4">
        <f t="shared" si="96"/>
        <v>1</v>
      </c>
      <c r="AF96" s="4">
        <f t="shared" si="96"/>
        <v>6</v>
      </c>
      <c r="AG96" s="4">
        <f t="shared" si="96"/>
        <v>0</v>
      </c>
      <c r="AH96" s="4">
        <f t="shared" si="96"/>
        <v>0</v>
      </c>
    </row>
    <row r="97">
      <c r="A97" s="7">
        <v>96.0</v>
      </c>
      <c r="B97" s="16">
        <v>42838.0</v>
      </c>
      <c r="C97" s="7" t="s">
        <v>44</v>
      </c>
      <c r="D97" s="7" t="s">
        <v>29</v>
      </c>
      <c r="E97" s="7" t="s">
        <v>30</v>
      </c>
      <c r="F97" s="17" t="s">
        <v>4</v>
      </c>
      <c r="G97" s="9">
        <f t="shared" si="2"/>
        <v>8</v>
      </c>
      <c r="H97" s="7" t="s">
        <v>29</v>
      </c>
      <c r="I97" s="7" t="s">
        <v>29</v>
      </c>
      <c r="J97" s="7" t="s">
        <v>29</v>
      </c>
      <c r="K97" s="7" t="s">
        <v>29</v>
      </c>
      <c r="L97" s="7" t="s">
        <v>29</v>
      </c>
      <c r="M97" s="7" t="s">
        <v>28</v>
      </c>
      <c r="N97" s="7" t="s">
        <v>28</v>
      </c>
      <c r="O97" s="19" t="s">
        <v>28</v>
      </c>
      <c r="P97" s="7" t="s">
        <v>29</v>
      </c>
      <c r="Q97" s="7" t="s">
        <v>29</v>
      </c>
      <c r="R97" s="7" t="s">
        <v>29</v>
      </c>
      <c r="S97" s="12"/>
      <c r="T97" s="13"/>
      <c r="V97" s="4">
        <f t="shared" ref="V97:AH97" si="97">COUNTIF($F$2:$F97,V$1)</f>
        <v>1</v>
      </c>
      <c r="W97" s="4">
        <f t="shared" si="97"/>
        <v>14</v>
      </c>
      <c r="X97" s="4">
        <f t="shared" si="97"/>
        <v>4</v>
      </c>
      <c r="Y97" s="4">
        <f t="shared" si="97"/>
        <v>9</v>
      </c>
      <c r="Z97" s="4">
        <f t="shared" si="97"/>
        <v>17</v>
      </c>
      <c r="AA97" s="4">
        <f t="shared" si="97"/>
        <v>4</v>
      </c>
      <c r="AB97" s="4">
        <f t="shared" si="97"/>
        <v>7</v>
      </c>
      <c r="AC97" s="4">
        <f t="shared" si="97"/>
        <v>11</v>
      </c>
      <c r="AD97" s="4">
        <f t="shared" si="97"/>
        <v>21</v>
      </c>
      <c r="AE97" s="4">
        <f t="shared" si="97"/>
        <v>1</v>
      </c>
      <c r="AF97" s="4">
        <f t="shared" si="97"/>
        <v>6</v>
      </c>
      <c r="AG97" s="4">
        <f t="shared" si="97"/>
        <v>0</v>
      </c>
      <c r="AH97" s="4">
        <f t="shared" si="97"/>
        <v>0</v>
      </c>
    </row>
    <row r="98">
      <c r="A98" s="7">
        <v>97.0</v>
      </c>
      <c r="B98" s="16">
        <v>42886.0</v>
      </c>
      <c r="C98" s="7" t="s">
        <v>44</v>
      </c>
      <c r="D98" s="7" t="s">
        <v>28</v>
      </c>
      <c r="E98" s="7" t="s">
        <v>0</v>
      </c>
      <c r="F98" s="17" t="s">
        <v>1</v>
      </c>
      <c r="G98" s="9">
        <f t="shared" si="2"/>
        <v>6</v>
      </c>
      <c r="H98" s="7" t="s">
        <v>29</v>
      </c>
      <c r="I98" s="7" t="s">
        <v>29</v>
      </c>
      <c r="J98" s="7" t="s">
        <v>29</v>
      </c>
      <c r="K98" s="7" t="s">
        <v>28</v>
      </c>
      <c r="L98" s="7" t="s">
        <v>29</v>
      </c>
      <c r="M98" s="7" t="s">
        <v>28</v>
      </c>
      <c r="N98" s="7" t="s">
        <v>28</v>
      </c>
      <c r="O98" s="19" t="s">
        <v>28</v>
      </c>
      <c r="P98" s="7" t="s">
        <v>29</v>
      </c>
      <c r="Q98" s="7" t="s">
        <v>28</v>
      </c>
      <c r="R98" s="7" t="s">
        <v>29</v>
      </c>
      <c r="S98" s="12"/>
      <c r="T98" s="13"/>
      <c r="V98" s="4">
        <f t="shared" ref="V98:AH98" si="98">COUNTIF($F$2:$F98,V$1)</f>
        <v>1</v>
      </c>
      <c r="W98" s="4">
        <f t="shared" si="98"/>
        <v>15</v>
      </c>
      <c r="X98" s="4">
        <f t="shared" si="98"/>
        <v>4</v>
      </c>
      <c r="Y98" s="4">
        <f t="shared" si="98"/>
        <v>9</v>
      </c>
      <c r="Z98" s="4">
        <f t="shared" si="98"/>
        <v>17</v>
      </c>
      <c r="AA98" s="4">
        <f t="shared" si="98"/>
        <v>4</v>
      </c>
      <c r="AB98" s="4">
        <f t="shared" si="98"/>
        <v>7</v>
      </c>
      <c r="AC98" s="4">
        <f t="shared" si="98"/>
        <v>11</v>
      </c>
      <c r="AD98" s="4">
        <f t="shared" si="98"/>
        <v>21</v>
      </c>
      <c r="AE98" s="4">
        <f t="shared" si="98"/>
        <v>1</v>
      </c>
      <c r="AF98" s="4">
        <f t="shared" si="98"/>
        <v>6</v>
      </c>
      <c r="AG98" s="4">
        <f t="shared" si="98"/>
        <v>0</v>
      </c>
      <c r="AH98" s="4">
        <f t="shared" si="98"/>
        <v>0</v>
      </c>
    </row>
    <row r="99">
      <c r="A99" s="7">
        <v>98.0</v>
      </c>
      <c r="B99" s="16">
        <v>42909.0</v>
      </c>
      <c r="C99" s="7" t="s">
        <v>44</v>
      </c>
      <c r="D99" s="7" t="s">
        <v>29</v>
      </c>
      <c r="E99" s="7" t="s">
        <v>43</v>
      </c>
      <c r="F99" s="17" t="s">
        <v>0</v>
      </c>
      <c r="G99" s="9">
        <f t="shared" si="2"/>
        <v>5</v>
      </c>
      <c r="H99" s="7" t="s">
        <v>29</v>
      </c>
      <c r="I99" s="7" t="s">
        <v>28</v>
      </c>
      <c r="J99" s="7" t="s">
        <v>29</v>
      </c>
      <c r="K99" s="7" t="s">
        <v>29</v>
      </c>
      <c r="L99" s="7" t="s">
        <v>29</v>
      </c>
      <c r="M99" s="7" t="s">
        <v>29</v>
      </c>
      <c r="N99" s="7" t="s">
        <v>28</v>
      </c>
      <c r="O99" s="19" t="s">
        <v>28</v>
      </c>
      <c r="P99" s="7" t="s">
        <v>28</v>
      </c>
      <c r="Q99" s="7" t="s">
        <v>28</v>
      </c>
      <c r="R99" s="7" t="s">
        <v>28</v>
      </c>
      <c r="S99" s="12"/>
      <c r="T99" s="13"/>
      <c r="V99" s="4">
        <f t="shared" ref="V99:AH99" si="99">COUNTIF($F$2:$F99,V$1)</f>
        <v>2</v>
      </c>
      <c r="W99" s="4">
        <f t="shared" si="99"/>
        <v>15</v>
      </c>
      <c r="X99" s="4">
        <f t="shared" si="99"/>
        <v>4</v>
      </c>
      <c r="Y99" s="4">
        <f t="shared" si="99"/>
        <v>9</v>
      </c>
      <c r="Z99" s="4">
        <f t="shared" si="99"/>
        <v>17</v>
      </c>
      <c r="AA99" s="4">
        <f t="shared" si="99"/>
        <v>4</v>
      </c>
      <c r="AB99" s="4">
        <f t="shared" si="99"/>
        <v>7</v>
      </c>
      <c r="AC99" s="4">
        <f t="shared" si="99"/>
        <v>11</v>
      </c>
      <c r="AD99" s="4">
        <f t="shared" si="99"/>
        <v>21</v>
      </c>
      <c r="AE99" s="4">
        <f t="shared" si="99"/>
        <v>1</v>
      </c>
      <c r="AF99" s="4">
        <f t="shared" si="99"/>
        <v>6</v>
      </c>
      <c r="AG99" s="4">
        <f t="shared" si="99"/>
        <v>0</v>
      </c>
      <c r="AH99" s="4">
        <f t="shared" si="99"/>
        <v>0</v>
      </c>
    </row>
    <row r="100">
      <c r="A100" s="7">
        <v>99.0</v>
      </c>
      <c r="B100" s="16">
        <v>42942.0</v>
      </c>
      <c r="C100" s="7" t="s">
        <v>44</v>
      </c>
      <c r="D100" s="7" t="s">
        <v>28</v>
      </c>
      <c r="E100" s="7" t="s">
        <v>5</v>
      </c>
      <c r="F100" s="17" t="s">
        <v>5</v>
      </c>
      <c r="G100" s="9">
        <f t="shared" si="2"/>
        <v>8</v>
      </c>
      <c r="H100" s="7" t="s">
        <v>29</v>
      </c>
      <c r="I100" s="7" t="s">
        <v>29</v>
      </c>
      <c r="J100" s="7" t="s">
        <v>29</v>
      </c>
      <c r="K100" s="7" t="s">
        <v>28</v>
      </c>
      <c r="L100" s="7" t="s">
        <v>29</v>
      </c>
      <c r="M100" s="7" t="s">
        <v>29</v>
      </c>
      <c r="N100" s="7" t="s">
        <v>28</v>
      </c>
      <c r="O100" s="19" t="s">
        <v>28</v>
      </c>
      <c r="P100" s="7" t="s">
        <v>29</v>
      </c>
      <c r="Q100" s="7" t="s">
        <v>29</v>
      </c>
      <c r="R100" s="7" t="s">
        <v>29</v>
      </c>
      <c r="S100" s="12"/>
      <c r="T100" s="13"/>
      <c r="V100" s="4">
        <f t="shared" ref="V100:AH100" si="100">COUNTIF($F$2:$F100,V$1)</f>
        <v>2</v>
      </c>
      <c r="W100" s="4">
        <f t="shared" si="100"/>
        <v>15</v>
      </c>
      <c r="X100" s="4">
        <f t="shared" si="100"/>
        <v>4</v>
      </c>
      <c r="Y100" s="4">
        <f t="shared" si="100"/>
        <v>9</v>
      </c>
      <c r="Z100" s="4">
        <f t="shared" si="100"/>
        <v>17</v>
      </c>
      <c r="AA100" s="4">
        <f t="shared" si="100"/>
        <v>5</v>
      </c>
      <c r="AB100" s="4">
        <f t="shared" si="100"/>
        <v>7</v>
      </c>
      <c r="AC100" s="4">
        <f t="shared" si="100"/>
        <v>11</v>
      </c>
      <c r="AD100" s="4">
        <f t="shared" si="100"/>
        <v>21</v>
      </c>
      <c r="AE100" s="4">
        <f t="shared" si="100"/>
        <v>1</v>
      </c>
      <c r="AF100" s="4">
        <f t="shared" si="100"/>
        <v>6</v>
      </c>
      <c r="AG100" s="4">
        <f t="shared" si="100"/>
        <v>0</v>
      </c>
      <c r="AH100" s="4">
        <f t="shared" si="100"/>
        <v>0</v>
      </c>
    </row>
    <row r="101">
      <c r="A101" s="7">
        <v>100.0</v>
      </c>
      <c r="B101" s="16">
        <v>42977.0</v>
      </c>
      <c r="C101" s="7" t="s">
        <v>44</v>
      </c>
      <c r="D101" s="7" t="s">
        <v>28</v>
      </c>
      <c r="E101" s="7" t="s">
        <v>1</v>
      </c>
      <c r="F101" s="17" t="s">
        <v>10</v>
      </c>
      <c r="G101" s="9">
        <f t="shared" si="2"/>
        <v>9</v>
      </c>
      <c r="H101" s="7" t="s">
        <v>28</v>
      </c>
      <c r="I101" s="7" t="s">
        <v>29</v>
      </c>
      <c r="J101" s="7" t="s">
        <v>29</v>
      </c>
      <c r="K101" s="7" t="s">
        <v>29</v>
      </c>
      <c r="L101" s="7" t="s">
        <v>29</v>
      </c>
      <c r="M101" s="7" t="s">
        <v>29</v>
      </c>
      <c r="N101" s="7" t="s">
        <v>29</v>
      </c>
      <c r="O101" s="19" t="s">
        <v>28</v>
      </c>
      <c r="P101" s="7" t="s">
        <v>29</v>
      </c>
      <c r="Q101" s="7" t="s">
        <v>29</v>
      </c>
      <c r="R101" s="7" t="s">
        <v>29</v>
      </c>
      <c r="S101" s="12"/>
      <c r="T101" s="13"/>
      <c r="V101" s="4">
        <f t="shared" ref="V101:AH101" si="101">COUNTIF($F$2:$F101,V$1)</f>
        <v>2</v>
      </c>
      <c r="W101" s="4">
        <f t="shared" si="101"/>
        <v>15</v>
      </c>
      <c r="X101" s="4">
        <f t="shared" si="101"/>
        <v>4</v>
      </c>
      <c r="Y101" s="4">
        <f t="shared" si="101"/>
        <v>9</v>
      </c>
      <c r="Z101" s="4">
        <f t="shared" si="101"/>
        <v>17</v>
      </c>
      <c r="AA101" s="4">
        <f t="shared" si="101"/>
        <v>5</v>
      </c>
      <c r="AB101" s="4">
        <f t="shared" si="101"/>
        <v>7</v>
      </c>
      <c r="AC101" s="4">
        <f t="shared" si="101"/>
        <v>11</v>
      </c>
      <c r="AD101" s="4">
        <f t="shared" si="101"/>
        <v>21</v>
      </c>
      <c r="AE101" s="4">
        <f t="shared" si="101"/>
        <v>1</v>
      </c>
      <c r="AF101" s="4">
        <f t="shared" si="101"/>
        <v>7</v>
      </c>
      <c r="AG101" s="4">
        <f t="shared" si="101"/>
        <v>0</v>
      </c>
      <c r="AH101" s="4">
        <f t="shared" si="101"/>
        <v>0</v>
      </c>
    </row>
    <row r="102">
      <c r="A102" s="7">
        <v>101.0</v>
      </c>
      <c r="B102" s="16">
        <v>43000.0</v>
      </c>
      <c r="C102" s="7" t="s">
        <v>45</v>
      </c>
      <c r="D102" s="7" t="s">
        <v>28</v>
      </c>
      <c r="E102" s="7" t="s">
        <v>8</v>
      </c>
      <c r="F102" s="17" t="s">
        <v>8</v>
      </c>
      <c r="G102" s="9">
        <f t="shared" si="2"/>
        <v>5</v>
      </c>
      <c r="H102" s="7" t="s">
        <v>29</v>
      </c>
      <c r="I102" s="7" t="s">
        <v>29</v>
      </c>
      <c r="J102" s="7" t="s">
        <v>28</v>
      </c>
      <c r="K102" s="7" t="s">
        <v>28</v>
      </c>
      <c r="L102" s="7" t="s">
        <v>29</v>
      </c>
      <c r="M102" s="7" t="s">
        <v>29</v>
      </c>
      <c r="N102" s="7" t="s">
        <v>28</v>
      </c>
      <c r="O102" s="19" t="s">
        <v>28</v>
      </c>
      <c r="P102" s="7" t="s">
        <v>29</v>
      </c>
      <c r="Q102" s="7" t="s">
        <v>28</v>
      </c>
      <c r="R102" s="7" t="s">
        <v>28</v>
      </c>
      <c r="S102" s="12"/>
      <c r="T102" s="13"/>
      <c r="V102" s="4">
        <f t="shared" ref="V102:AH102" si="102">COUNTIF($F$2:$F102,V$1)</f>
        <v>2</v>
      </c>
      <c r="W102" s="4">
        <f t="shared" si="102"/>
        <v>15</v>
      </c>
      <c r="X102" s="4">
        <f t="shared" si="102"/>
        <v>4</v>
      </c>
      <c r="Y102" s="4">
        <f t="shared" si="102"/>
        <v>9</v>
      </c>
      <c r="Z102" s="4">
        <f t="shared" si="102"/>
        <v>17</v>
      </c>
      <c r="AA102" s="4">
        <f t="shared" si="102"/>
        <v>5</v>
      </c>
      <c r="AB102" s="4">
        <f t="shared" si="102"/>
        <v>7</v>
      </c>
      <c r="AC102" s="4">
        <f t="shared" si="102"/>
        <v>11</v>
      </c>
      <c r="AD102" s="4">
        <f t="shared" si="102"/>
        <v>22</v>
      </c>
      <c r="AE102" s="4">
        <f t="shared" si="102"/>
        <v>1</v>
      </c>
      <c r="AF102" s="4">
        <f t="shared" si="102"/>
        <v>7</v>
      </c>
      <c r="AG102" s="4">
        <f t="shared" si="102"/>
        <v>0</v>
      </c>
      <c r="AH102" s="4">
        <f t="shared" si="102"/>
        <v>0</v>
      </c>
    </row>
    <row r="103">
      <c r="A103" s="7">
        <v>102.0</v>
      </c>
      <c r="B103" s="16">
        <v>43033.0</v>
      </c>
      <c r="C103" s="7" t="s">
        <v>45</v>
      </c>
      <c r="D103" s="7" t="s">
        <v>28</v>
      </c>
      <c r="E103" s="7" t="s">
        <v>2</v>
      </c>
      <c r="F103" s="17" t="s">
        <v>8</v>
      </c>
      <c r="G103" s="9">
        <f t="shared" si="2"/>
        <v>6</v>
      </c>
      <c r="H103" s="7" t="s">
        <v>29</v>
      </c>
      <c r="I103" s="7" t="s">
        <v>28</v>
      </c>
      <c r="J103" s="7" t="s">
        <v>29</v>
      </c>
      <c r="K103" s="7" t="s">
        <v>28</v>
      </c>
      <c r="L103" s="7" t="s">
        <v>29</v>
      </c>
      <c r="M103" s="7" t="s">
        <v>29</v>
      </c>
      <c r="N103" s="7" t="s">
        <v>28</v>
      </c>
      <c r="O103" s="19" t="s">
        <v>28</v>
      </c>
      <c r="P103" s="7" t="s">
        <v>29</v>
      </c>
      <c r="Q103" s="7" t="s">
        <v>29</v>
      </c>
      <c r="R103" s="7" t="s">
        <v>28</v>
      </c>
      <c r="S103" s="12"/>
      <c r="T103" s="13"/>
      <c r="V103" s="4">
        <f t="shared" ref="V103:AH103" si="103">COUNTIF($F$2:$F103,V$1)</f>
        <v>2</v>
      </c>
      <c r="W103" s="4">
        <f t="shared" si="103"/>
        <v>15</v>
      </c>
      <c r="X103" s="4">
        <f t="shared" si="103"/>
        <v>4</v>
      </c>
      <c r="Y103" s="4">
        <f t="shared" si="103"/>
        <v>9</v>
      </c>
      <c r="Z103" s="4">
        <f t="shared" si="103"/>
        <v>17</v>
      </c>
      <c r="AA103" s="4">
        <f t="shared" si="103"/>
        <v>5</v>
      </c>
      <c r="AB103" s="4">
        <f t="shared" si="103"/>
        <v>7</v>
      </c>
      <c r="AC103" s="4">
        <f t="shared" si="103"/>
        <v>11</v>
      </c>
      <c r="AD103" s="4">
        <f t="shared" si="103"/>
        <v>23</v>
      </c>
      <c r="AE103" s="4">
        <f t="shared" si="103"/>
        <v>1</v>
      </c>
      <c r="AF103" s="4">
        <f t="shared" si="103"/>
        <v>7</v>
      </c>
      <c r="AG103" s="4">
        <f t="shared" si="103"/>
        <v>0</v>
      </c>
      <c r="AH103" s="4">
        <f t="shared" si="103"/>
        <v>0</v>
      </c>
    </row>
    <row r="104">
      <c r="A104" s="7">
        <v>103.0</v>
      </c>
      <c r="B104" s="16">
        <v>43068.0</v>
      </c>
      <c r="C104" s="7" t="s">
        <v>45</v>
      </c>
      <c r="D104" s="7" t="s">
        <v>28</v>
      </c>
      <c r="E104" s="7" t="s">
        <v>9</v>
      </c>
      <c r="F104" s="17" t="s">
        <v>0</v>
      </c>
      <c r="G104" s="9">
        <f t="shared" si="2"/>
        <v>6</v>
      </c>
      <c r="H104" s="7" t="s">
        <v>29</v>
      </c>
      <c r="I104" s="7" t="s">
        <v>29</v>
      </c>
      <c r="J104" s="7" t="s">
        <v>29</v>
      </c>
      <c r="K104" s="7" t="s">
        <v>28</v>
      </c>
      <c r="L104" s="7" t="s">
        <v>28</v>
      </c>
      <c r="M104" s="7" t="s">
        <v>29</v>
      </c>
      <c r="N104" s="7" t="s">
        <v>28</v>
      </c>
      <c r="O104" s="19" t="s">
        <v>28</v>
      </c>
      <c r="P104" s="7" t="s">
        <v>29</v>
      </c>
      <c r="Q104" s="7" t="s">
        <v>29</v>
      </c>
      <c r="R104" s="7" t="s">
        <v>28</v>
      </c>
      <c r="S104" s="12"/>
      <c r="T104" s="13"/>
      <c r="V104" s="4">
        <f t="shared" ref="V104:AH104" si="104">COUNTIF($F$2:$F104,V$1)</f>
        <v>3</v>
      </c>
      <c r="W104" s="4">
        <f t="shared" si="104"/>
        <v>15</v>
      </c>
      <c r="X104" s="4">
        <f t="shared" si="104"/>
        <v>4</v>
      </c>
      <c r="Y104" s="4">
        <f t="shared" si="104"/>
        <v>9</v>
      </c>
      <c r="Z104" s="4">
        <f t="shared" si="104"/>
        <v>17</v>
      </c>
      <c r="AA104" s="4">
        <f t="shared" si="104"/>
        <v>5</v>
      </c>
      <c r="AB104" s="4">
        <f t="shared" si="104"/>
        <v>7</v>
      </c>
      <c r="AC104" s="4">
        <f t="shared" si="104"/>
        <v>11</v>
      </c>
      <c r="AD104" s="4">
        <f t="shared" si="104"/>
        <v>23</v>
      </c>
      <c r="AE104" s="4">
        <f t="shared" si="104"/>
        <v>1</v>
      </c>
      <c r="AF104" s="4">
        <f t="shared" si="104"/>
        <v>7</v>
      </c>
      <c r="AG104" s="4">
        <f t="shared" si="104"/>
        <v>0</v>
      </c>
      <c r="AH104" s="4">
        <f t="shared" si="104"/>
        <v>0</v>
      </c>
    </row>
    <row r="105">
      <c r="A105" s="7">
        <v>104.0</v>
      </c>
      <c r="B105" s="16">
        <v>43098.0</v>
      </c>
      <c r="C105" s="7" t="s">
        <v>45</v>
      </c>
      <c r="D105" s="7" t="s">
        <v>29</v>
      </c>
      <c r="E105" s="7" t="s">
        <v>38</v>
      </c>
      <c r="F105" s="17" t="s">
        <v>4</v>
      </c>
      <c r="G105" s="9">
        <f t="shared" si="2"/>
        <v>8</v>
      </c>
      <c r="H105" s="7" t="s">
        <v>29</v>
      </c>
      <c r="I105" s="7" t="s">
        <v>29</v>
      </c>
      <c r="J105" s="7" t="s">
        <v>29</v>
      </c>
      <c r="K105" s="7" t="s">
        <v>29</v>
      </c>
      <c r="L105" s="7" t="s">
        <v>29</v>
      </c>
      <c r="M105" s="7" t="s">
        <v>29</v>
      </c>
      <c r="N105" s="7" t="s">
        <v>28</v>
      </c>
      <c r="O105" s="19" t="s">
        <v>28</v>
      </c>
      <c r="P105" s="7" t="s">
        <v>29</v>
      </c>
      <c r="Q105" s="7" t="s">
        <v>29</v>
      </c>
      <c r="R105" s="7" t="s">
        <v>28</v>
      </c>
      <c r="S105" s="12"/>
      <c r="T105" s="13"/>
      <c r="V105" s="4">
        <f t="shared" ref="V105:AH105" si="105">COUNTIF($F$2:$F105,V$1)</f>
        <v>3</v>
      </c>
      <c r="W105" s="4">
        <f t="shared" si="105"/>
        <v>15</v>
      </c>
      <c r="X105" s="4">
        <f t="shared" si="105"/>
        <v>4</v>
      </c>
      <c r="Y105" s="4">
        <f t="shared" si="105"/>
        <v>9</v>
      </c>
      <c r="Z105" s="4">
        <f t="shared" si="105"/>
        <v>18</v>
      </c>
      <c r="AA105" s="4">
        <f t="shared" si="105"/>
        <v>5</v>
      </c>
      <c r="AB105" s="4">
        <f t="shared" si="105"/>
        <v>7</v>
      </c>
      <c r="AC105" s="4">
        <f t="shared" si="105"/>
        <v>11</v>
      </c>
      <c r="AD105" s="4">
        <f t="shared" si="105"/>
        <v>23</v>
      </c>
      <c r="AE105" s="4">
        <f t="shared" si="105"/>
        <v>1</v>
      </c>
      <c r="AF105" s="4">
        <f t="shared" si="105"/>
        <v>7</v>
      </c>
      <c r="AG105" s="4">
        <f t="shared" si="105"/>
        <v>0</v>
      </c>
      <c r="AH105" s="4">
        <f t="shared" si="105"/>
        <v>0</v>
      </c>
    </row>
    <row r="106">
      <c r="A106" s="7">
        <v>105.0</v>
      </c>
      <c r="B106" s="16">
        <v>43116.0</v>
      </c>
      <c r="C106" s="7" t="s">
        <v>45</v>
      </c>
      <c r="D106" s="7" t="s">
        <v>28</v>
      </c>
      <c r="E106" s="7" t="s">
        <v>4</v>
      </c>
      <c r="F106" s="17" t="s">
        <v>10</v>
      </c>
      <c r="G106" s="9">
        <f t="shared" si="2"/>
        <v>7</v>
      </c>
      <c r="H106" s="7" t="s">
        <v>29</v>
      </c>
      <c r="I106" s="7" t="s">
        <v>29</v>
      </c>
      <c r="J106" s="7" t="s">
        <v>29</v>
      </c>
      <c r="K106" s="7" t="s">
        <v>28</v>
      </c>
      <c r="L106" s="7" t="s">
        <v>29</v>
      </c>
      <c r="M106" s="7" t="s">
        <v>29</v>
      </c>
      <c r="N106" s="7" t="s">
        <v>28</v>
      </c>
      <c r="O106" s="19" t="s">
        <v>28</v>
      </c>
      <c r="P106" s="7" t="s">
        <v>29</v>
      </c>
      <c r="Q106" s="7" t="s">
        <v>28</v>
      </c>
      <c r="R106" s="7" t="s">
        <v>29</v>
      </c>
      <c r="S106" s="12"/>
      <c r="T106" s="13"/>
      <c r="V106" s="4">
        <f t="shared" ref="V106:AH106" si="106">COUNTIF($F$2:$F106,V$1)</f>
        <v>3</v>
      </c>
      <c r="W106" s="4">
        <f t="shared" si="106"/>
        <v>15</v>
      </c>
      <c r="X106" s="4">
        <f t="shared" si="106"/>
        <v>4</v>
      </c>
      <c r="Y106" s="4">
        <f t="shared" si="106"/>
        <v>9</v>
      </c>
      <c r="Z106" s="4">
        <f t="shared" si="106"/>
        <v>18</v>
      </c>
      <c r="AA106" s="4">
        <f t="shared" si="106"/>
        <v>5</v>
      </c>
      <c r="AB106" s="4">
        <f t="shared" si="106"/>
        <v>7</v>
      </c>
      <c r="AC106" s="4">
        <f t="shared" si="106"/>
        <v>11</v>
      </c>
      <c r="AD106" s="4">
        <f t="shared" si="106"/>
        <v>23</v>
      </c>
      <c r="AE106" s="4">
        <f t="shared" si="106"/>
        <v>1</v>
      </c>
      <c r="AF106" s="4">
        <f t="shared" si="106"/>
        <v>8</v>
      </c>
      <c r="AG106" s="4">
        <f t="shared" si="106"/>
        <v>0</v>
      </c>
      <c r="AH106" s="4">
        <f t="shared" si="106"/>
        <v>0</v>
      </c>
    </row>
    <row r="107">
      <c r="A107" s="7">
        <v>106.0</v>
      </c>
      <c r="B107" s="16">
        <v>43150.0</v>
      </c>
      <c r="C107" s="7" t="s">
        <v>45</v>
      </c>
      <c r="D107" s="7" t="s">
        <v>28</v>
      </c>
      <c r="E107" s="7" t="s">
        <v>10</v>
      </c>
      <c r="F107" s="17" t="s">
        <v>2</v>
      </c>
      <c r="G107" s="9">
        <f t="shared" si="2"/>
        <v>8</v>
      </c>
      <c r="H107" s="7" t="s">
        <v>29</v>
      </c>
      <c r="I107" s="7" t="s">
        <v>29</v>
      </c>
      <c r="J107" s="7" t="s">
        <v>29</v>
      </c>
      <c r="K107" s="7" t="s">
        <v>29</v>
      </c>
      <c r="L107" s="7" t="s">
        <v>29</v>
      </c>
      <c r="M107" s="7" t="s">
        <v>29</v>
      </c>
      <c r="N107" s="7" t="s">
        <v>28</v>
      </c>
      <c r="O107" s="19" t="s">
        <v>28</v>
      </c>
      <c r="P107" s="7" t="s">
        <v>29</v>
      </c>
      <c r="Q107" s="7" t="s">
        <v>28</v>
      </c>
      <c r="R107" s="7" t="s">
        <v>29</v>
      </c>
      <c r="S107" s="12"/>
      <c r="T107" s="13"/>
      <c r="V107" s="4">
        <f t="shared" ref="V107:AH107" si="107">COUNTIF($F$2:$F107,V$1)</f>
        <v>3</v>
      </c>
      <c r="W107" s="4">
        <f t="shared" si="107"/>
        <v>15</v>
      </c>
      <c r="X107" s="4">
        <f t="shared" si="107"/>
        <v>5</v>
      </c>
      <c r="Y107" s="4">
        <f t="shared" si="107"/>
        <v>9</v>
      </c>
      <c r="Z107" s="4">
        <f t="shared" si="107"/>
        <v>18</v>
      </c>
      <c r="AA107" s="4">
        <f t="shared" si="107"/>
        <v>5</v>
      </c>
      <c r="AB107" s="4">
        <f t="shared" si="107"/>
        <v>7</v>
      </c>
      <c r="AC107" s="4">
        <f t="shared" si="107"/>
        <v>11</v>
      </c>
      <c r="AD107" s="4">
        <f t="shared" si="107"/>
        <v>23</v>
      </c>
      <c r="AE107" s="4">
        <f t="shared" si="107"/>
        <v>1</v>
      </c>
      <c r="AF107" s="4">
        <f t="shared" si="107"/>
        <v>8</v>
      </c>
      <c r="AG107" s="4">
        <f t="shared" si="107"/>
        <v>0</v>
      </c>
      <c r="AH107" s="4">
        <f t="shared" si="107"/>
        <v>0</v>
      </c>
    </row>
    <row r="108">
      <c r="A108" s="7">
        <v>107.0</v>
      </c>
      <c r="B108" s="16">
        <v>43174.0</v>
      </c>
      <c r="C108" s="7" t="s">
        <v>45</v>
      </c>
      <c r="D108" s="7" t="s">
        <v>28</v>
      </c>
      <c r="E108" s="7" t="s">
        <v>0</v>
      </c>
      <c r="F108" s="17" t="s">
        <v>2</v>
      </c>
      <c r="G108" s="9">
        <f t="shared" si="2"/>
        <v>7</v>
      </c>
      <c r="H108" s="7" t="s">
        <v>29</v>
      </c>
      <c r="I108" s="7" t="s">
        <v>29</v>
      </c>
      <c r="J108" s="7" t="s">
        <v>29</v>
      </c>
      <c r="K108" s="7" t="s">
        <v>28</v>
      </c>
      <c r="L108" s="7" t="s">
        <v>29</v>
      </c>
      <c r="M108" s="7" t="s">
        <v>29</v>
      </c>
      <c r="N108" s="7" t="s">
        <v>28</v>
      </c>
      <c r="O108" s="19" t="s">
        <v>28</v>
      </c>
      <c r="P108" s="7" t="s">
        <v>29</v>
      </c>
      <c r="Q108" s="7" t="s">
        <v>28</v>
      </c>
      <c r="R108" s="7" t="s">
        <v>29</v>
      </c>
      <c r="S108" s="12"/>
      <c r="T108" s="13"/>
      <c r="V108" s="4">
        <f t="shared" ref="V108:AH108" si="108">COUNTIF($F$2:$F108,V$1)</f>
        <v>3</v>
      </c>
      <c r="W108" s="4">
        <f t="shared" si="108"/>
        <v>15</v>
      </c>
      <c r="X108" s="4">
        <f t="shared" si="108"/>
        <v>6</v>
      </c>
      <c r="Y108" s="4">
        <f t="shared" si="108"/>
        <v>9</v>
      </c>
      <c r="Z108" s="4">
        <f t="shared" si="108"/>
        <v>18</v>
      </c>
      <c r="AA108" s="4">
        <f t="shared" si="108"/>
        <v>5</v>
      </c>
      <c r="AB108" s="4">
        <f t="shared" si="108"/>
        <v>7</v>
      </c>
      <c r="AC108" s="4">
        <f t="shared" si="108"/>
        <v>11</v>
      </c>
      <c r="AD108" s="4">
        <f t="shared" si="108"/>
        <v>23</v>
      </c>
      <c r="AE108" s="4">
        <f t="shared" si="108"/>
        <v>1</v>
      </c>
      <c r="AF108" s="4">
        <f t="shared" si="108"/>
        <v>8</v>
      </c>
      <c r="AG108" s="4">
        <f t="shared" si="108"/>
        <v>0</v>
      </c>
      <c r="AH108" s="4">
        <f t="shared" si="108"/>
        <v>0</v>
      </c>
    </row>
    <row r="109">
      <c r="A109" s="7">
        <v>108.0</v>
      </c>
      <c r="B109" s="16">
        <v>43188.0</v>
      </c>
      <c r="C109" s="7" t="s">
        <v>45</v>
      </c>
      <c r="D109" s="7" t="s">
        <v>29</v>
      </c>
      <c r="E109" s="7" t="s">
        <v>30</v>
      </c>
      <c r="F109" s="17" t="s">
        <v>2</v>
      </c>
      <c r="G109" s="9">
        <f t="shared" si="2"/>
        <v>4</v>
      </c>
      <c r="H109" s="7" t="s">
        <v>28</v>
      </c>
      <c r="I109" s="7" t="s">
        <v>29</v>
      </c>
      <c r="J109" s="7" t="s">
        <v>29</v>
      </c>
      <c r="K109" s="7" t="s">
        <v>29</v>
      </c>
      <c r="L109" s="7" t="s">
        <v>29</v>
      </c>
      <c r="M109" s="7" t="s">
        <v>28</v>
      </c>
      <c r="N109" s="7" t="s">
        <v>28</v>
      </c>
      <c r="O109" s="19" t="s">
        <v>28</v>
      </c>
      <c r="P109" s="7" t="s">
        <v>28</v>
      </c>
      <c r="Q109" s="7" t="s">
        <v>28</v>
      </c>
      <c r="R109" s="7" t="s">
        <v>28</v>
      </c>
      <c r="S109" s="12"/>
      <c r="T109" s="13"/>
      <c r="V109" s="4">
        <f t="shared" ref="V109:AH109" si="109">COUNTIF($F$2:$F109,V$1)</f>
        <v>3</v>
      </c>
      <c r="W109" s="4">
        <f t="shared" si="109"/>
        <v>15</v>
      </c>
      <c r="X109" s="4">
        <f t="shared" si="109"/>
        <v>7</v>
      </c>
      <c r="Y109" s="4">
        <f t="shared" si="109"/>
        <v>9</v>
      </c>
      <c r="Z109" s="4">
        <f t="shared" si="109"/>
        <v>18</v>
      </c>
      <c r="AA109" s="4">
        <f t="shared" si="109"/>
        <v>5</v>
      </c>
      <c r="AB109" s="4">
        <f t="shared" si="109"/>
        <v>7</v>
      </c>
      <c r="AC109" s="4">
        <f t="shared" si="109"/>
        <v>11</v>
      </c>
      <c r="AD109" s="4">
        <f t="shared" si="109"/>
        <v>23</v>
      </c>
      <c r="AE109" s="4">
        <f t="shared" si="109"/>
        <v>1</v>
      </c>
      <c r="AF109" s="4">
        <f t="shared" si="109"/>
        <v>8</v>
      </c>
      <c r="AG109" s="4">
        <f t="shared" si="109"/>
        <v>0</v>
      </c>
      <c r="AH109" s="4">
        <f t="shared" si="109"/>
        <v>0</v>
      </c>
    </row>
    <row r="110">
      <c r="A110" s="7">
        <v>109.0</v>
      </c>
      <c r="B110" s="16">
        <v>43216.0</v>
      </c>
      <c r="C110" s="7" t="s">
        <v>45</v>
      </c>
      <c r="D110" s="7" t="s">
        <v>28</v>
      </c>
      <c r="E110" s="7" t="s">
        <v>5</v>
      </c>
      <c r="F110" s="17" t="s">
        <v>1</v>
      </c>
      <c r="G110" s="9">
        <f t="shared" si="2"/>
        <v>6</v>
      </c>
      <c r="H110" s="7" t="s">
        <v>28</v>
      </c>
      <c r="I110" s="7" t="s">
        <v>29</v>
      </c>
      <c r="J110" s="7" t="s">
        <v>29</v>
      </c>
      <c r="K110" s="7" t="s">
        <v>28</v>
      </c>
      <c r="L110" s="7" t="s">
        <v>29</v>
      </c>
      <c r="M110" s="7" t="s">
        <v>29</v>
      </c>
      <c r="N110" s="7" t="s">
        <v>28</v>
      </c>
      <c r="O110" s="19" t="s">
        <v>28</v>
      </c>
      <c r="P110" s="7" t="s">
        <v>29</v>
      </c>
      <c r="Q110" s="7" t="s">
        <v>29</v>
      </c>
      <c r="R110" s="7" t="s">
        <v>28</v>
      </c>
      <c r="S110" s="12"/>
      <c r="T110" s="13"/>
      <c r="V110" s="4">
        <f t="shared" ref="V110:AH110" si="110">COUNTIF($F$2:$F110,V$1)</f>
        <v>3</v>
      </c>
      <c r="W110" s="4">
        <f t="shared" si="110"/>
        <v>16</v>
      </c>
      <c r="X110" s="4">
        <f t="shared" si="110"/>
        <v>7</v>
      </c>
      <c r="Y110" s="4">
        <f t="shared" si="110"/>
        <v>9</v>
      </c>
      <c r="Z110" s="4">
        <f t="shared" si="110"/>
        <v>18</v>
      </c>
      <c r="AA110" s="4">
        <f t="shared" si="110"/>
        <v>5</v>
      </c>
      <c r="AB110" s="4">
        <f t="shared" si="110"/>
        <v>7</v>
      </c>
      <c r="AC110" s="4">
        <f t="shared" si="110"/>
        <v>11</v>
      </c>
      <c r="AD110" s="4">
        <f t="shared" si="110"/>
        <v>23</v>
      </c>
      <c r="AE110" s="4">
        <f t="shared" si="110"/>
        <v>1</v>
      </c>
      <c r="AF110" s="4">
        <f t="shared" si="110"/>
        <v>8</v>
      </c>
      <c r="AG110" s="4">
        <f t="shared" si="110"/>
        <v>0</v>
      </c>
      <c r="AH110" s="4">
        <f t="shared" si="110"/>
        <v>0</v>
      </c>
    </row>
    <row r="111">
      <c r="A111" s="7">
        <v>110.0</v>
      </c>
      <c r="B111" s="16">
        <v>43250.0</v>
      </c>
      <c r="C111" s="7" t="s">
        <v>45</v>
      </c>
      <c r="D111" s="7" t="s">
        <v>28</v>
      </c>
      <c r="E111" s="7" t="s">
        <v>8</v>
      </c>
      <c r="F111" s="17" t="s">
        <v>9</v>
      </c>
      <c r="G111" s="9">
        <f t="shared" si="2"/>
        <v>7</v>
      </c>
      <c r="H111" s="7" t="s">
        <v>29</v>
      </c>
      <c r="I111" s="7" t="s">
        <v>29</v>
      </c>
      <c r="J111" s="7" t="s">
        <v>28</v>
      </c>
      <c r="K111" s="7" t="s">
        <v>28</v>
      </c>
      <c r="L111" s="7" t="s">
        <v>29</v>
      </c>
      <c r="M111" s="7" t="s">
        <v>29</v>
      </c>
      <c r="N111" s="7" t="s">
        <v>28</v>
      </c>
      <c r="O111" s="19" t="s">
        <v>28</v>
      </c>
      <c r="P111" s="7" t="s">
        <v>29</v>
      </c>
      <c r="Q111" s="7" t="s">
        <v>29</v>
      </c>
      <c r="R111" s="7" t="s">
        <v>29</v>
      </c>
      <c r="S111" s="12"/>
      <c r="T111" s="13"/>
      <c r="V111" s="4">
        <f t="shared" ref="V111:AH111" si="111">COUNTIF($F$2:$F111,V$1)</f>
        <v>3</v>
      </c>
      <c r="W111" s="4">
        <f t="shared" si="111"/>
        <v>16</v>
      </c>
      <c r="X111" s="4">
        <f t="shared" si="111"/>
        <v>7</v>
      </c>
      <c r="Y111" s="4">
        <f t="shared" si="111"/>
        <v>9</v>
      </c>
      <c r="Z111" s="4">
        <f t="shared" si="111"/>
        <v>18</v>
      </c>
      <c r="AA111" s="4">
        <f t="shared" si="111"/>
        <v>5</v>
      </c>
      <c r="AB111" s="4">
        <f t="shared" si="111"/>
        <v>7</v>
      </c>
      <c r="AC111" s="4">
        <f t="shared" si="111"/>
        <v>11</v>
      </c>
      <c r="AD111" s="4">
        <f t="shared" si="111"/>
        <v>23</v>
      </c>
      <c r="AE111" s="4">
        <f t="shared" si="111"/>
        <v>2</v>
      </c>
      <c r="AF111" s="4">
        <f t="shared" si="111"/>
        <v>8</v>
      </c>
      <c r="AG111" s="4">
        <f t="shared" si="111"/>
        <v>0</v>
      </c>
      <c r="AH111" s="4">
        <f t="shared" si="111"/>
        <v>0</v>
      </c>
    </row>
    <row r="112">
      <c r="A112" s="7">
        <v>111.0</v>
      </c>
      <c r="B112" s="16">
        <v>43266.0</v>
      </c>
      <c r="C112" s="7" t="s">
        <v>45</v>
      </c>
      <c r="D112" s="7" t="s">
        <v>29</v>
      </c>
      <c r="E112" s="7" t="s">
        <v>43</v>
      </c>
      <c r="F112" s="17" t="s">
        <v>3</v>
      </c>
      <c r="G112" s="9">
        <f t="shared" si="2"/>
        <v>5</v>
      </c>
      <c r="H112" s="7" t="s">
        <v>28</v>
      </c>
      <c r="I112" s="7" t="s">
        <v>29</v>
      </c>
      <c r="J112" s="7" t="s">
        <v>29</v>
      </c>
      <c r="K112" s="7" t="s">
        <v>29</v>
      </c>
      <c r="L112" s="7" t="s">
        <v>29</v>
      </c>
      <c r="M112" s="7" t="s">
        <v>28</v>
      </c>
      <c r="N112" s="7" t="s">
        <v>28</v>
      </c>
      <c r="O112" s="19" t="s">
        <v>28</v>
      </c>
      <c r="P112" s="7" t="s">
        <v>29</v>
      </c>
      <c r="Q112" s="7" t="s">
        <v>28</v>
      </c>
      <c r="R112" s="7" t="s">
        <v>28</v>
      </c>
      <c r="S112" s="12"/>
      <c r="T112" s="13"/>
      <c r="V112" s="4">
        <f t="shared" ref="V112:AH112" si="112">COUNTIF($F$2:$F112,V$1)</f>
        <v>3</v>
      </c>
      <c r="W112" s="4">
        <f t="shared" si="112"/>
        <v>16</v>
      </c>
      <c r="X112" s="4">
        <f t="shared" si="112"/>
        <v>7</v>
      </c>
      <c r="Y112" s="4">
        <f t="shared" si="112"/>
        <v>10</v>
      </c>
      <c r="Z112" s="4">
        <f t="shared" si="112"/>
        <v>18</v>
      </c>
      <c r="AA112" s="4">
        <f t="shared" si="112"/>
        <v>5</v>
      </c>
      <c r="AB112" s="4">
        <f t="shared" si="112"/>
        <v>7</v>
      </c>
      <c r="AC112" s="4">
        <f t="shared" si="112"/>
        <v>11</v>
      </c>
      <c r="AD112" s="4">
        <f t="shared" si="112"/>
        <v>23</v>
      </c>
      <c r="AE112" s="4">
        <f t="shared" si="112"/>
        <v>2</v>
      </c>
      <c r="AF112" s="4">
        <f t="shared" si="112"/>
        <v>8</v>
      </c>
      <c r="AG112" s="4">
        <f t="shared" si="112"/>
        <v>0</v>
      </c>
      <c r="AH112" s="4">
        <f t="shared" si="112"/>
        <v>0</v>
      </c>
    </row>
    <row r="113">
      <c r="A113" s="7">
        <v>112.0</v>
      </c>
      <c r="B113" s="16">
        <v>43313.0</v>
      </c>
      <c r="C113" s="7" t="s">
        <v>45</v>
      </c>
      <c r="D113" s="7" t="s">
        <v>28</v>
      </c>
      <c r="E113" s="7" t="s">
        <v>1</v>
      </c>
      <c r="F113" s="17" t="s">
        <v>8</v>
      </c>
      <c r="G113" s="9">
        <f t="shared" si="2"/>
        <v>6</v>
      </c>
      <c r="H113" s="7" t="s">
        <v>29</v>
      </c>
      <c r="I113" s="7" t="s">
        <v>29</v>
      </c>
      <c r="J113" s="7" t="s">
        <v>29</v>
      </c>
      <c r="K113" s="7" t="s">
        <v>28</v>
      </c>
      <c r="L113" s="7" t="s">
        <v>29</v>
      </c>
      <c r="M113" s="7" t="s">
        <v>29</v>
      </c>
      <c r="N113" s="7" t="s">
        <v>28</v>
      </c>
      <c r="O113" s="19" t="s">
        <v>28</v>
      </c>
      <c r="P113" s="7" t="s">
        <v>29</v>
      </c>
      <c r="Q113" s="7" t="s">
        <v>28</v>
      </c>
      <c r="R113" s="7" t="s">
        <v>28</v>
      </c>
      <c r="S113" s="12"/>
      <c r="T113" s="13"/>
      <c r="V113" s="4">
        <f t="shared" ref="V113:AH113" si="113">COUNTIF($F$2:$F113,V$1)</f>
        <v>3</v>
      </c>
      <c r="W113" s="4">
        <f t="shared" si="113"/>
        <v>16</v>
      </c>
      <c r="X113" s="4">
        <f t="shared" si="113"/>
        <v>7</v>
      </c>
      <c r="Y113" s="4">
        <f t="shared" si="113"/>
        <v>10</v>
      </c>
      <c r="Z113" s="4">
        <f t="shared" si="113"/>
        <v>18</v>
      </c>
      <c r="AA113" s="4">
        <f t="shared" si="113"/>
        <v>5</v>
      </c>
      <c r="AB113" s="4">
        <f t="shared" si="113"/>
        <v>7</v>
      </c>
      <c r="AC113" s="4">
        <f t="shared" si="113"/>
        <v>11</v>
      </c>
      <c r="AD113" s="4">
        <f t="shared" si="113"/>
        <v>24</v>
      </c>
      <c r="AE113" s="4">
        <f t="shared" si="113"/>
        <v>2</v>
      </c>
      <c r="AF113" s="4">
        <f t="shared" si="113"/>
        <v>8</v>
      </c>
      <c r="AG113" s="4">
        <f t="shared" si="113"/>
        <v>0</v>
      </c>
      <c r="AH113" s="4">
        <f t="shared" si="113"/>
        <v>0</v>
      </c>
    </row>
    <row r="114">
      <c r="A114" s="7">
        <v>113.0</v>
      </c>
      <c r="B114" s="16">
        <v>43341.0</v>
      </c>
      <c r="C114" s="7" t="s">
        <v>45</v>
      </c>
      <c r="D114" s="7" t="s">
        <v>28</v>
      </c>
      <c r="E114" s="7" t="s">
        <v>2</v>
      </c>
      <c r="F114" s="17" t="s">
        <v>8</v>
      </c>
      <c r="G114" s="9">
        <f t="shared" si="2"/>
        <v>8</v>
      </c>
      <c r="H114" s="7" t="s">
        <v>29</v>
      </c>
      <c r="I114" s="7" t="s">
        <v>29</v>
      </c>
      <c r="J114" s="7" t="s">
        <v>29</v>
      </c>
      <c r="K114" s="7" t="s">
        <v>29</v>
      </c>
      <c r="L114" s="7" t="s">
        <v>29</v>
      </c>
      <c r="M114" s="7" t="s">
        <v>29</v>
      </c>
      <c r="N114" s="7" t="s">
        <v>28</v>
      </c>
      <c r="O114" s="19" t="s">
        <v>28</v>
      </c>
      <c r="P114" s="7" t="s">
        <v>29</v>
      </c>
      <c r="Q114" s="7" t="s">
        <v>28</v>
      </c>
      <c r="R114" s="7" t="s">
        <v>29</v>
      </c>
      <c r="S114" s="12"/>
      <c r="T114" s="13"/>
      <c r="V114" s="4">
        <f t="shared" ref="V114:AH114" si="114">COUNTIF($F$2:$F114,V$1)</f>
        <v>3</v>
      </c>
      <c r="W114" s="4">
        <f t="shared" si="114"/>
        <v>16</v>
      </c>
      <c r="X114" s="4">
        <f t="shared" si="114"/>
        <v>7</v>
      </c>
      <c r="Y114" s="4">
        <f t="shared" si="114"/>
        <v>10</v>
      </c>
      <c r="Z114" s="4">
        <f t="shared" si="114"/>
        <v>18</v>
      </c>
      <c r="AA114" s="4">
        <f t="shared" si="114"/>
        <v>5</v>
      </c>
      <c r="AB114" s="4">
        <f t="shared" si="114"/>
        <v>7</v>
      </c>
      <c r="AC114" s="4">
        <f t="shared" si="114"/>
        <v>11</v>
      </c>
      <c r="AD114" s="4">
        <f t="shared" si="114"/>
        <v>25</v>
      </c>
      <c r="AE114" s="4">
        <f t="shared" si="114"/>
        <v>2</v>
      </c>
      <c r="AF114" s="4">
        <f t="shared" si="114"/>
        <v>8</v>
      </c>
      <c r="AG114" s="4">
        <f t="shared" si="114"/>
        <v>0</v>
      </c>
      <c r="AH114" s="4">
        <f t="shared" si="114"/>
        <v>0</v>
      </c>
    </row>
    <row r="115">
      <c r="A115" s="7">
        <v>114.0</v>
      </c>
      <c r="B115" s="16">
        <v>43376.0</v>
      </c>
      <c r="C115" s="7" t="s">
        <v>46</v>
      </c>
      <c r="D115" s="7" t="s">
        <v>28</v>
      </c>
      <c r="E115" s="7" t="s">
        <v>9</v>
      </c>
      <c r="F115" s="17" t="s">
        <v>4</v>
      </c>
      <c r="G115" s="9">
        <f t="shared" si="2"/>
        <v>7</v>
      </c>
      <c r="H115" s="7" t="s">
        <v>29</v>
      </c>
      <c r="I115" s="7" t="s">
        <v>29</v>
      </c>
      <c r="J115" s="7" t="s">
        <v>29</v>
      </c>
      <c r="K115" s="7" t="s">
        <v>28</v>
      </c>
      <c r="L115" s="7" t="s">
        <v>29</v>
      </c>
      <c r="M115" s="7" t="s">
        <v>29</v>
      </c>
      <c r="N115" s="7" t="s">
        <v>28</v>
      </c>
      <c r="O115" s="19" t="s">
        <v>28</v>
      </c>
      <c r="P115" s="7" t="s">
        <v>29</v>
      </c>
      <c r="Q115" s="7" t="s">
        <v>29</v>
      </c>
      <c r="R115" s="7" t="s">
        <v>28</v>
      </c>
      <c r="S115" s="12"/>
      <c r="T115" s="13"/>
      <c r="V115" s="4">
        <f t="shared" ref="V115:AH115" si="115">COUNTIF($F$2:$F115,V$1)</f>
        <v>3</v>
      </c>
      <c r="W115" s="4">
        <f t="shared" si="115"/>
        <v>16</v>
      </c>
      <c r="X115" s="4">
        <f t="shared" si="115"/>
        <v>7</v>
      </c>
      <c r="Y115" s="4">
        <f t="shared" si="115"/>
        <v>10</v>
      </c>
      <c r="Z115" s="4">
        <f t="shared" si="115"/>
        <v>19</v>
      </c>
      <c r="AA115" s="4">
        <f t="shared" si="115"/>
        <v>5</v>
      </c>
      <c r="AB115" s="4">
        <f t="shared" si="115"/>
        <v>7</v>
      </c>
      <c r="AC115" s="4">
        <f t="shared" si="115"/>
        <v>11</v>
      </c>
      <c r="AD115" s="4">
        <f t="shared" si="115"/>
        <v>25</v>
      </c>
      <c r="AE115" s="4">
        <f t="shared" si="115"/>
        <v>2</v>
      </c>
      <c r="AF115" s="4">
        <f t="shared" si="115"/>
        <v>8</v>
      </c>
      <c r="AG115" s="4">
        <f t="shared" si="115"/>
        <v>0</v>
      </c>
      <c r="AH115" s="4">
        <f t="shared" si="115"/>
        <v>0</v>
      </c>
    </row>
    <row r="116">
      <c r="A116" s="7">
        <v>115.0</v>
      </c>
      <c r="B116" s="16" t="s">
        <v>47</v>
      </c>
      <c r="C116" s="7" t="s">
        <v>46</v>
      </c>
      <c r="D116" s="7" t="s">
        <v>28</v>
      </c>
      <c r="E116" s="7" t="s">
        <v>4</v>
      </c>
      <c r="F116" s="17" t="s">
        <v>10</v>
      </c>
      <c r="G116" s="9">
        <f t="shared" si="2"/>
        <v>7</v>
      </c>
      <c r="H116" s="7" t="s">
        <v>29</v>
      </c>
      <c r="I116" s="7" t="s">
        <v>29</v>
      </c>
      <c r="J116" s="7" t="s">
        <v>29</v>
      </c>
      <c r="K116" s="7" t="s">
        <v>28</v>
      </c>
      <c r="L116" s="7" t="s">
        <v>29</v>
      </c>
      <c r="M116" s="7" t="s">
        <v>29</v>
      </c>
      <c r="N116" s="7" t="s">
        <v>28</v>
      </c>
      <c r="O116" s="19" t="s">
        <v>28</v>
      </c>
      <c r="P116" s="7" t="s">
        <v>29</v>
      </c>
      <c r="Q116" s="7" t="s">
        <v>28</v>
      </c>
      <c r="R116" s="7" t="s">
        <v>29</v>
      </c>
      <c r="S116" s="12"/>
      <c r="T116" s="13"/>
      <c r="V116" s="4">
        <f t="shared" ref="V116:AH116" si="116">COUNTIF($F$2:$F116,V$1)</f>
        <v>3</v>
      </c>
      <c r="W116" s="4">
        <f t="shared" si="116"/>
        <v>16</v>
      </c>
      <c r="X116" s="4">
        <f t="shared" si="116"/>
        <v>7</v>
      </c>
      <c r="Y116" s="4">
        <f t="shared" si="116"/>
        <v>10</v>
      </c>
      <c r="Z116" s="4">
        <f t="shared" si="116"/>
        <v>19</v>
      </c>
      <c r="AA116" s="4">
        <f t="shared" si="116"/>
        <v>5</v>
      </c>
      <c r="AB116" s="4">
        <f t="shared" si="116"/>
        <v>7</v>
      </c>
      <c r="AC116" s="4">
        <f t="shared" si="116"/>
        <v>11</v>
      </c>
      <c r="AD116" s="4">
        <f t="shared" si="116"/>
        <v>25</v>
      </c>
      <c r="AE116" s="4">
        <f t="shared" si="116"/>
        <v>2</v>
      </c>
      <c r="AF116" s="4">
        <f t="shared" si="116"/>
        <v>9</v>
      </c>
      <c r="AG116" s="4">
        <f t="shared" si="116"/>
        <v>0</v>
      </c>
      <c r="AH116" s="4">
        <f t="shared" si="116"/>
        <v>0</v>
      </c>
    </row>
    <row r="117">
      <c r="A117" s="7">
        <v>116.0</v>
      </c>
      <c r="B117" s="16">
        <v>43423.0</v>
      </c>
      <c r="C117" s="7" t="s">
        <v>46</v>
      </c>
      <c r="D117" s="7" t="s">
        <v>28</v>
      </c>
      <c r="E117" s="7" t="s">
        <v>10</v>
      </c>
      <c r="F117" s="17" t="s">
        <v>8</v>
      </c>
      <c r="G117" s="9">
        <f t="shared" si="2"/>
        <v>7</v>
      </c>
      <c r="H117" s="7" t="s">
        <v>29</v>
      </c>
      <c r="I117" s="7" t="s">
        <v>29</v>
      </c>
      <c r="J117" s="7" t="s">
        <v>29</v>
      </c>
      <c r="K117" s="7" t="s">
        <v>29</v>
      </c>
      <c r="L117" s="7" t="s">
        <v>29</v>
      </c>
      <c r="M117" s="7" t="s">
        <v>28</v>
      </c>
      <c r="N117" s="7" t="s">
        <v>28</v>
      </c>
      <c r="O117" s="19" t="s">
        <v>28</v>
      </c>
      <c r="P117" s="7" t="s">
        <v>29</v>
      </c>
      <c r="Q117" s="7" t="s">
        <v>28</v>
      </c>
      <c r="R117" s="7" t="s">
        <v>29</v>
      </c>
      <c r="S117" s="12"/>
      <c r="T117" s="13"/>
      <c r="V117" s="4">
        <f t="shared" ref="V117:AH117" si="117">COUNTIF($F$2:$F117,V$1)</f>
        <v>3</v>
      </c>
      <c r="W117" s="4">
        <f t="shared" si="117"/>
        <v>16</v>
      </c>
      <c r="X117" s="4">
        <f t="shared" si="117"/>
        <v>7</v>
      </c>
      <c r="Y117" s="4">
        <f t="shared" si="117"/>
        <v>10</v>
      </c>
      <c r="Z117" s="4">
        <f t="shared" si="117"/>
        <v>19</v>
      </c>
      <c r="AA117" s="4">
        <f t="shared" si="117"/>
        <v>5</v>
      </c>
      <c r="AB117" s="4">
        <f t="shared" si="117"/>
        <v>7</v>
      </c>
      <c r="AC117" s="4">
        <f t="shared" si="117"/>
        <v>11</v>
      </c>
      <c r="AD117" s="4">
        <f t="shared" si="117"/>
        <v>26</v>
      </c>
      <c r="AE117" s="4">
        <f t="shared" si="117"/>
        <v>2</v>
      </c>
      <c r="AF117" s="4">
        <f t="shared" si="117"/>
        <v>9</v>
      </c>
      <c r="AG117" s="4">
        <f t="shared" si="117"/>
        <v>0</v>
      </c>
      <c r="AH117" s="4">
        <f t="shared" si="117"/>
        <v>0</v>
      </c>
    </row>
    <row r="118">
      <c r="A118" s="7">
        <v>117.0</v>
      </c>
      <c r="B118" s="16">
        <v>43475.0</v>
      </c>
      <c r="C118" s="7" t="s">
        <v>46</v>
      </c>
      <c r="D118" s="7" t="s">
        <v>28</v>
      </c>
      <c r="E118" s="7" t="s">
        <v>0</v>
      </c>
      <c r="F118" s="17" t="s">
        <v>0</v>
      </c>
      <c r="G118" s="9">
        <f t="shared" si="2"/>
        <v>8</v>
      </c>
      <c r="H118" s="7" t="s">
        <v>29</v>
      </c>
      <c r="I118" s="7" t="s">
        <v>29</v>
      </c>
      <c r="J118" s="7" t="s">
        <v>29</v>
      </c>
      <c r="K118" s="7" t="s">
        <v>29</v>
      </c>
      <c r="L118" s="7" t="s">
        <v>29</v>
      </c>
      <c r="M118" s="7" t="s">
        <v>29</v>
      </c>
      <c r="N118" s="7" t="s">
        <v>28</v>
      </c>
      <c r="O118" s="19" t="s">
        <v>28</v>
      </c>
      <c r="P118" s="7" t="s">
        <v>29</v>
      </c>
      <c r="Q118" s="7" t="s">
        <v>28</v>
      </c>
      <c r="R118" s="7" t="s">
        <v>29</v>
      </c>
      <c r="S118" s="12"/>
      <c r="T118" s="13"/>
      <c r="V118" s="4">
        <f t="shared" ref="V118:AH118" si="118">COUNTIF($F$2:$F118,V$1)</f>
        <v>4</v>
      </c>
      <c r="W118" s="4">
        <f t="shared" si="118"/>
        <v>16</v>
      </c>
      <c r="X118" s="4">
        <f t="shared" si="118"/>
        <v>7</v>
      </c>
      <c r="Y118" s="4">
        <f t="shared" si="118"/>
        <v>10</v>
      </c>
      <c r="Z118" s="4">
        <f t="shared" si="118"/>
        <v>19</v>
      </c>
      <c r="AA118" s="4">
        <f t="shared" si="118"/>
        <v>5</v>
      </c>
      <c r="AB118" s="4">
        <f t="shared" si="118"/>
        <v>7</v>
      </c>
      <c r="AC118" s="4">
        <f t="shared" si="118"/>
        <v>11</v>
      </c>
      <c r="AD118" s="4">
        <f t="shared" si="118"/>
        <v>26</v>
      </c>
      <c r="AE118" s="4">
        <f t="shared" si="118"/>
        <v>2</v>
      </c>
      <c r="AF118" s="4">
        <f t="shared" si="118"/>
        <v>9</v>
      </c>
      <c r="AG118" s="4">
        <f t="shared" si="118"/>
        <v>0</v>
      </c>
      <c r="AH118" s="4">
        <f t="shared" si="118"/>
        <v>0</v>
      </c>
    </row>
    <row r="119">
      <c r="A119" s="7">
        <v>118.0</v>
      </c>
      <c r="B119" s="16">
        <v>43486.0</v>
      </c>
      <c r="C119" s="7" t="s">
        <v>46</v>
      </c>
      <c r="D119" s="7" t="s">
        <v>29</v>
      </c>
      <c r="E119" s="7" t="s">
        <v>48</v>
      </c>
      <c r="F119" s="17" t="s">
        <v>8</v>
      </c>
      <c r="G119" s="9">
        <f t="shared" si="2"/>
        <v>5</v>
      </c>
      <c r="H119" s="7" t="s">
        <v>28</v>
      </c>
      <c r="I119" s="7" t="s">
        <v>29</v>
      </c>
      <c r="J119" s="7" t="s">
        <v>29</v>
      </c>
      <c r="K119" s="7" t="s">
        <v>29</v>
      </c>
      <c r="L119" s="7" t="s">
        <v>28</v>
      </c>
      <c r="M119" s="7" t="s">
        <v>29</v>
      </c>
      <c r="N119" s="7" t="s">
        <v>28</v>
      </c>
      <c r="O119" s="19" t="s">
        <v>28</v>
      </c>
      <c r="P119" s="7" t="s">
        <v>29</v>
      </c>
      <c r="Q119" s="7" t="s">
        <v>28</v>
      </c>
      <c r="R119" s="7" t="s">
        <v>28</v>
      </c>
      <c r="S119" s="12"/>
      <c r="T119" s="13"/>
      <c r="V119" s="4">
        <f t="shared" ref="V119:AH119" si="119">COUNTIF($F$2:$F119,V$1)</f>
        <v>4</v>
      </c>
      <c r="W119" s="4">
        <f t="shared" si="119"/>
        <v>16</v>
      </c>
      <c r="X119" s="4">
        <f t="shared" si="119"/>
        <v>7</v>
      </c>
      <c r="Y119" s="4">
        <f t="shared" si="119"/>
        <v>10</v>
      </c>
      <c r="Z119" s="4">
        <f t="shared" si="119"/>
        <v>19</v>
      </c>
      <c r="AA119" s="4">
        <f t="shared" si="119"/>
        <v>5</v>
      </c>
      <c r="AB119" s="4">
        <f t="shared" si="119"/>
        <v>7</v>
      </c>
      <c r="AC119" s="4">
        <f t="shared" si="119"/>
        <v>11</v>
      </c>
      <c r="AD119" s="4">
        <f t="shared" si="119"/>
        <v>27</v>
      </c>
      <c r="AE119" s="4">
        <f t="shared" si="119"/>
        <v>2</v>
      </c>
      <c r="AF119" s="4">
        <f t="shared" si="119"/>
        <v>9</v>
      </c>
      <c r="AG119" s="4">
        <f t="shared" si="119"/>
        <v>0</v>
      </c>
      <c r="AH119" s="4">
        <f t="shared" si="119"/>
        <v>0</v>
      </c>
    </row>
    <row r="120">
      <c r="A120" s="7">
        <v>119.0</v>
      </c>
      <c r="B120" s="16">
        <v>43508.0</v>
      </c>
      <c r="C120" s="7" t="s">
        <v>46</v>
      </c>
      <c r="D120" s="7" t="s">
        <v>28</v>
      </c>
      <c r="E120" s="7" t="s">
        <v>5</v>
      </c>
      <c r="F120" s="17" t="s">
        <v>8</v>
      </c>
      <c r="G120" s="9">
        <f t="shared" si="2"/>
        <v>7</v>
      </c>
      <c r="H120" s="7" t="s">
        <v>29</v>
      </c>
      <c r="I120" s="7" t="s">
        <v>29</v>
      </c>
      <c r="J120" s="7" t="s">
        <v>28</v>
      </c>
      <c r="K120" s="7" t="s">
        <v>29</v>
      </c>
      <c r="L120" s="7" t="s">
        <v>29</v>
      </c>
      <c r="M120" s="7" t="s">
        <v>29</v>
      </c>
      <c r="N120" s="7" t="s">
        <v>28</v>
      </c>
      <c r="O120" s="19" t="s">
        <v>28</v>
      </c>
      <c r="P120" s="7" t="s">
        <v>29</v>
      </c>
      <c r="Q120" s="7" t="s">
        <v>29</v>
      </c>
      <c r="R120" s="7" t="s">
        <v>28</v>
      </c>
      <c r="S120" s="12"/>
      <c r="T120" s="13"/>
      <c r="V120" s="4">
        <f t="shared" ref="V120:AH120" si="120">COUNTIF($F$2:$F120,V$1)</f>
        <v>4</v>
      </c>
      <c r="W120" s="4">
        <f t="shared" si="120"/>
        <v>16</v>
      </c>
      <c r="X120" s="4">
        <f t="shared" si="120"/>
        <v>7</v>
      </c>
      <c r="Y120" s="4">
        <f t="shared" si="120"/>
        <v>10</v>
      </c>
      <c r="Z120" s="4">
        <f t="shared" si="120"/>
        <v>19</v>
      </c>
      <c r="AA120" s="4">
        <f t="shared" si="120"/>
        <v>5</v>
      </c>
      <c r="AB120" s="4">
        <f t="shared" si="120"/>
        <v>7</v>
      </c>
      <c r="AC120" s="4">
        <f t="shared" si="120"/>
        <v>11</v>
      </c>
      <c r="AD120" s="4">
        <f t="shared" si="120"/>
        <v>28</v>
      </c>
      <c r="AE120" s="4">
        <f t="shared" si="120"/>
        <v>2</v>
      </c>
      <c r="AF120" s="4">
        <f t="shared" si="120"/>
        <v>9</v>
      </c>
      <c r="AG120" s="4">
        <f t="shared" si="120"/>
        <v>0</v>
      </c>
      <c r="AH120" s="4">
        <f t="shared" si="120"/>
        <v>0</v>
      </c>
    </row>
    <row r="121">
      <c r="A121" s="7">
        <v>120.0</v>
      </c>
      <c r="B121" s="16">
        <v>43552.0</v>
      </c>
      <c r="C121" s="7" t="s">
        <v>46</v>
      </c>
      <c r="D121" s="7" t="s">
        <v>28</v>
      </c>
      <c r="E121" s="7" t="s">
        <v>1</v>
      </c>
      <c r="F121" s="17" t="s">
        <v>4</v>
      </c>
      <c r="G121" s="9">
        <f t="shared" si="2"/>
        <v>7</v>
      </c>
      <c r="H121" s="7" t="s">
        <v>29</v>
      </c>
      <c r="I121" s="7" t="s">
        <v>29</v>
      </c>
      <c r="J121" s="7" t="s">
        <v>29</v>
      </c>
      <c r="K121" s="7" t="s">
        <v>28</v>
      </c>
      <c r="L121" s="7" t="s">
        <v>29</v>
      </c>
      <c r="M121" s="7" t="s">
        <v>29</v>
      </c>
      <c r="N121" s="7" t="s">
        <v>28</v>
      </c>
      <c r="O121" s="19" t="s">
        <v>28</v>
      </c>
      <c r="P121" s="7" t="s">
        <v>29</v>
      </c>
      <c r="Q121" s="7" t="s">
        <v>28</v>
      </c>
      <c r="R121" s="7" t="s">
        <v>29</v>
      </c>
      <c r="S121" s="12"/>
      <c r="T121" s="13"/>
      <c r="V121" s="4">
        <f t="shared" ref="V121:AH121" si="121">COUNTIF($F$2:$F121,V$1)</f>
        <v>4</v>
      </c>
      <c r="W121" s="4">
        <f t="shared" si="121"/>
        <v>16</v>
      </c>
      <c r="X121" s="4">
        <f t="shared" si="121"/>
        <v>7</v>
      </c>
      <c r="Y121" s="4">
        <f t="shared" si="121"/>
        <v>10</v>
      </c>
      <c r="Z121" s="4">
        <f t="shared" si="121"/>
        <v>20</v>
      </c>
      <c r="AA121" s="4">
        <f t="shared" si="121"/>
        <v>5</v>
      </c>
      <c r="AB121" s="4">
        <f t="shared" si="121"/>
        <v>7</v>
      </c>
      <c r="AC121" s="4">
        <f t="shared" si="121"/>
        <v>11</v>
      </c>
      <c r="AD121" s="4">
        <f t="shared" si="121"/>
        <v>28</v>
      </c>
      <c r="AE121" s="4">
        <f t="shared" si="121"/>
        <v>2</v>
      </c>
      <c r="AF121" s="4">
        <f t="shared" si="121"/>
        <v>9</v>
      </c>
      <c r="AG121" s="4">
        <f t="shared" si="121"/>
        <v>0</v>
      </c>
      <c r="AH121" s="4">
        <f t="shared" si="121"/>
        <v>0</v>
      </c>
    </row>
    <row r="122">
      <c r="A122" s="7">
        <v>121.0</v>
      </c>
      <c r="B122" s="16">
        <v>43573.0</v>
      </c>
      <c r="C122" s="7" t="s">
        <v>46</v>
      </c>
      <c r="D122" s="7" t="s">
        <v>29</v>
      </c>
      <c r="E122" s="7" t="s">
        <v>30</v>
      </c>
      <c r="F122" s="17" t="s">
        <v>4</v>
      </c>
      <c r="G122" s="9">
        <f t="shared" si="2"/>
        <v>5</v>
      </c>
      <c r="H122" s="7" t="s">
        <v>28</v>
      </c>
      <c r="I122" s="7" t="s">
        <v>29</v>
      </c>
      <c r="J122" s="7" t="s">
        <v>29</v>
      </c>
      <c r="K122" s="7" t="s">
        <v>28</v>
      </c>
      <c r="L122" s="7" t="s">
        <v>29</v>
      </c>
      <c r="M122" s="7" t="s">
        <v>28</v>
      </c>
      <c r="N122" s="7" t="s">
        <v>28</v>
      </c>
      <c r="O122" s="19" t="s">
        <v>28</v>
      </c>
      <c r="P122" s="7" t="s">
        <v>29</v>
      </c>
      <c r="Q122" s="7" t="s">
        <v>28</v>
      </c>
      <c r="R122" s="7" t="s">
        <v>29</v>
      </c>
      <c r="S122" s="12"/>
      <c r="T122" s="13"/>
      <c r="V122" s="4">
        <f t="shared" ref="V122:AH122" si="122">COUNTIF($F$2:$F122,V$1)</f>
        <v>4</v>
      </c>
      <c r="W122" s="4">
        <f t="shared" si="122"/>
        <v>16</v>
      </c>
      <c r="X122" s="4">
        <f t="shared" si="122"/>
        <v>7</v>
      </c>
      <c r="Y122" s="4">
        <f t="shared" si="122"/>
        <v>10</v>
      </c>
      <c r="Z122" s="4">
        <f t="shared" si="122"/>
        <v>21</v>
      </c>
      <c r="AA122" s="4">
        <f t="shared" si="122"/>
        <v>5</v>
      </c>
      <c r="AB122" s="4">
        <f t="shared" si="122"/>
        <v>7</v>
      </c>
      <c r="AC122" s="4">
        <f t="shared" si="122"/>
        <v>11</v>
      </c>
      <c r="AD122" s="4">
        <f t="shared" si="122"/>
        <v>28</v>
      </c>
      <c r="AE122" s="4">
        <f t="shared" si="122"/>
        <v>2</v>
      </c>
      <c r="AF122" s="4">
        <f t="shared" si="122"/>
        <v>9</v>
      </c>
      <c r="AG122" s="4">
        <f t="shared" si="122"/>
        <v>0</v>
      </c>
      <c r="AH122" s="4">
        <f t="shared" si="122"/>
        <v>0</v>
      </c>
    </row>
    <row r="123">
      <c r="A123" s="7">
        <v>122.0</v>
      </c>
      <c r="B123" s="16">
        <v>43613.0</v>
      </c>
      <c r="C123" s="7" t="s">
        <v>46</v>
      </c>
      <c r="D123" s="7" t="s">
        <v>28</v>
      </c>
      <c r="E123" s="7" t="s">
        <v>8</v>
      </c>
      <c r="F123" s="17" t="s">
        <v>1</v>
      </c>
      <c r="G123" s="9">
        <f t="shared" si="2"/>
        <v>8</v>
      </c>
      <c r="H123" s="7" t="s">
        <v>29</v>
      </c>
      <c r="I123" s="7" t="s">
        <v>29</v>
      </c>
      <c r="J123" s="7" t="s">
        <v>29</v>
      </c>
      <c r="K123" s="7" t="s">
        <v>29</v>
      </c>
      <c r="L123" s="7" t="s">
        <v>29</v>
      </c>
      <c r="M123" s="7" t="s">
        <v>28</v>
      </c>
      <c r="N123" s="7" t="s">
        <v>28</v>
      </c>
      <c r="O123" s="19" t="s">
        <v>28</v>
      </c>
      <c r="P123" s="7" t="s">
        <v>29</v>
      </c>
      <c r="Q123" s="7" t="s">
        <v>29</v>
      </c>
      <c r="R123" s="7" t="s">
        <v>29</v>
      </c>
      <c r="S123" s="12"/>
      <c r="T123" s="13"/>
      <c r="V123" s="4">
        <f t="shared" ref="V123:AH123" si="123">COUNTIF($F$2:$F123,V$1)</f>
        <v>4</v>
      </c>
      <c r="W123" s="4">
        <f t="shared" si="123"/>
        <v>17</v>
      </c>
      <c r="X123" s="4">
        <f t="shared" si="123"/>
        <v>7</v>
      </c>
      <c r="Y123" s="4">
        <f t="shared" si="123"/>
        <v>10</v>
      </c>
      <c r="Z123" s="4">
        <f t="shared" si="123"/>
        <v>21</v>
      </c>
      <c r="AA123" s="4">
        <f t="shared" si="123"/>
        <v>5</v>
      </c>
      <c r="AB123" s="4">
        <f t="shared" si="123"/>
        <v>7</v>
      </c>
      <c r="AC123" s="4">
        <f t="shared" si="123"/>
        <v>11</v>
      </c>
      <c r="AD123" s="4">
        <f t="shared" si="123"/>
        <v>28</v>
      </c>
      <c r="AE123" s="4">
        <f t="shared" si="123"/>
        <v>2</v>
      </c>
      <c r="AF123" s="4">
        <f t="shared" si="123"/>
        <v>9</v>
      </c>
      <c r="AG123" s="4">
        <f t="shared" si="123"/>
        <v>0</v>
      </c>
      <c r="AH123" s="4">
        <f t="shared" si="123"/>
        <v>0</v>
      </c>
    </row>
    <row r="124">
      <c r="A124" s="7">
        <v>123.0</v>
      </c>
      <c r="B124" s="8">
        <v>43630.0</v>
      </c>
      <c r="C124" s="7" t="s">
        <v>46</v>
      </c>
      <c r="D124" s="7" t="s">
        <v>29</v>
      </c>
      <c r="E124" s="7" t="s">
        <v>43</v>
      </c>
      <c r="F124" s="17" t="s">
        <v>4</v>
      </c>
      <c r="G124" s="9">
        <f t="shared" si="2"/>
        <v>5</v>
      </c>
      <c r="H124" s="7" t="s">
        <v>29</v>
      </c>
      <c r="I124" s="7" t="s">
        <v>29</v>
      </c>
      <c r="J124" s="7" t="s">
        <v>28</v>
      </c>
      <c r="K124" s="7" t="s">
        <v>29</v>
      </c>
      <c r="L124" s="7" t="s">
        <v>29</v>
      </c>
      <c r="M124" s="7" t="s">
        <v>28</v>
      </c>
      <c r="N124" s="7" t="s">
        <v>28</v>
      </c>
      <c r="O124" s="19" t="s">
        <v>28</v>
      </c>
      <c r="P124" s="7" t="s">
        <v>29</v>
      </c>
      <c r="Q124" s="7" t="s">
        <v>28</v>
      </c>
      <c r="R124" s="7" t="s">
        <v>28</v>
      </c>
      <c r="S124" s="12"/>
      <c r="T124" s="13"/>
      <c r="V124" s="4">
        <f t="shared" ref="V124:AH124" si="124">COUNTIF($F$2:$F124,V$1)</f>
        <v>4</v>
      </c>
      <c r="W124" s="4">
        <f t="shared" si="124"/>
        <v>17</v>
      </c>
      <c r="X124" s="4">
        <f t="shared" si="124"/>
        <v>7</v>
      </c>
      <c r="Y124" s="4">
        <f t="shared" si="124"/>
        <v>10</v>
      </c>
      <c r="Z124" s="4">
        <f t="shared" si="124"/>
        <v>22</v>
      </c>
      <c r="AA124" s="4">
        <f t="shared" si="124"/>
        <v>5</v>
      </c>
      <c r="AB124" s="4">
        <f t="shared" si="124"/>
        <v>7</v>
      </c>
      <c r="AC124" s="4">
        <f t="shared" si="124"/>
        <v>11</v>
      </c>
      <c r="AD124" s="4">
        <f t="shared" si="124"/>
        <v>28</v>
      </c>
      <c r="AE124" s="4">
        <f t="shared" si="124"/>
        <v>2</v>
      </c>
      <c r="AF124" s="4">
        <f t="shared" si="124"/>
        <v>9</v>
      </c>
      <c r="AG124" s="4">
        <f t="shared" si="124"/>
        <v>0</v>
      </c>
      <c r="AH124" s="4">
        <f t="shared" si="124"/>
        <v>0</v>
      </c>
    </row>
    <row r="125">
      <c r="A125" s="7">
        <v>124.0</v>
      </c>
      <c r="B125" s="16">
        <v>43669.0</v>
      </c>
      <c r="C125" s="7" t="s">
        <v>46</v>
      </c>
      <c r="D125" s="7" t="s">
        <v>28</v>
      </c>
      <c r="E125" s="7" t="s">
        <v>2</v>
      </c>
      <c r="F125" s="17" t="s">
        <v>1</v>
      </c>
      <c r="G125" s="9">
        <f t="shared" si="2"/>
        <v>6</v>
      </c>
      <c r="H125" s="7" t="s">
        <v>29</v>
      </c>
      <c r="I125" s="7" t="s">
        <v>29</v>
      </c>
      <c r="J125" s="7" t="s">
        <v>29</v>
      </c>
      <c r="K125" s="7" t="s">
        <v>28</v>
      </c>
      <c r="L125" s="7" t="s">
        <v>28</v>
      </c>
      <c r="M125" s="7" t="s">
        <v>29</v>
      </c>
      <c r="N125" s="7" t="s">
        <v>28</v>
      </c>
      <c r="O125" s="19" t="s">
        <v>28</v>
      </c>
      <c r="P125" s="7" t="s">
        <v>29</v>
      </c>
      <c r="Q125" s="7" t="s">
        <v>29</v>
      </c>
      <c r="R125" s="7" t="s">
        <v>28</v>
      </c>
      <c r="S125" s="12"/>
      <c r="T125" s="13"/>
      <c r="V125" s="4">
        <f t="shared" ref="V125:AH125" si="125">COUNTIF($F$2:$F125,V$1)</f>
        <v>4</v>
      </c>
      <c r="W125" s="4">
        <f t="shared" si="125"/>
        <v>18</v>
      </c>
      <c r="X125" s="4">
        <f t="shared" si="125"/>
        <v>7</v>
      </c>
      <c r="Y125" s="4">
        <f t="shared" si="125"/>
        <v>10</v>
      </c>
      <c r="Z125" s="4">
        <f t="shared" si="125"/>
        <v>22</v>
      </c>
      <c r="AA125" s="4">
        <f t="shared" si="125"/>
        <v>5</v>
      </c>
      <c r="AB125" s="4">
        <f t="shared" si="125"/>
        <v>7</v>
      </c>
      <c r="AC125" s="4">
        <f t="shared" si="125"/>
        <v>11</v>
      </c>
      <c r="AD125" s="4">
        <f t="shared" si="125"/>
        <v>28</v>
      </c>
      <c r="AE125" s="4">
        <f t="shared" si="125"/>
        <v>2</v>
      </c>
      <c r="AF125" s="4">
        <f t="shared" si="125"/>
        <v>9</v>
      </c>
      <c r="AG125" s="4">
        <f t="shared" si="125"/>
        <v>0</v>
      </c>
      <c r="AH125" s="4">
        <f t="shared" si="125"/>
        <v>0</v>
      </c>
    </row>
    <row r="126">
      <c r="A126" s="7">
        <v>125.0</v>
      </c>
      <c r="B126" s="16">
        <v>43704.0</v>
      </c>
      <c r="C126" s="7" t="s">
        <v>46</v>
      </c>
      <c r="D126" s="7" t="s">
        <v>28</v>
      </c>
      <c r="E126" s="7" t="s">
        <v>9</v>
      </c>
      <c r="F126" s="17" t="s">
        <v>4</v>
      </c>
      <c r="G126" s="9">
        <f t="shared" si="2"/>
        <v>6</v>
      </c>
      <c r="H126" s="7" t="s">
        <v>29</v>
      </c>
      <c r="I126" s="7" t="s">
        <v>29</v>
      </c>
      <c r="J126" s="7" t="s">
        <v>29</v>
      </c>
      <c r="K126" s="7" t="s">
        <v>28</v>
      </c>
      <c r="L126" s="7" t="s">
        <v>29</v>
      </c>
      <c r="M126" s="7" t="s">
        <v>28</v>
      </c>
      <c r="N126" s="7" t="s">
        <v>28</v>
      </c>
      <c r="O126" s="19" t="s">
        <v>28</v>
      </c>
      <c r="P126" s="7" t="s">
        <v>29</v>
      </c>
      <c r="Q126" s="7" t="s">
        <v>29</v>
      </c>
      <c r="R126" s="7" t="s">
        <v>28</v>
      </c>
      <c r="S126" s="12"/>
      <c r="T126" s="13"/>
      <c r="V126" s="4">
        <f t="shared" ref="V126:AH126" si="126">COUNTIF($F$2:$F126,V$1)</f>
        <v>4</v>
      </c>
      <c r="W126" s="4">
        <f t="shared" si="126"/>
        <v>18</v>
      </c>
      <c r="X126" s="4">
        <f t="shared" si="126"/>
        <v>7</v>
      </c>
      <c r="Y126" s="4">
        <f t="shared" si="126"/>
        <v>10</v>
      </c>
      <c r="Z126" s="4">
        <f t="shared" si="126"/>
        <v>23</v>
      </c>
      <c r="AA126" s="4">
        <f t="shared" si="126"/>
        <v>5</v>
      </c>
      <c r="AB126" s="4">
        <f t="shared" si="126"/>
        <v>7</v>
      </c>
      <c r="AC126" s="4">
        <f t="shared" si="126"/>
        <v>11</v>
      </c>
      <c r="AD126" s="4">
        <f t="shared" si="126"/>
        <v>28</v>
      </c>
      <c r="AE126" s="4">
        <f t="shared" si="126"/>
        <v>2</v>
      </c>
      <c r="AF126" s="4">
        <f t="shared" si="126"/>
        <v>9</v>
      </c>
      <c r="AG126" s="4">
        <f t="shared" si="126"/>
        <v>0</v>
      </c>
      <c r="AH126" s="4">
        <f t="shared" si="126"/>
        <v>0</v>
      </c>
    </row>
    <row r="127">
      <c r="A127" s="7">
        <v>126.0</v>
      </c>
      <c r="B127" s="16">
        <v>43726.0</v>
      </c>
      <c r="C127" s="7" t="s">
        <v>49</v>
      </c>
      <c r="D127" s="7" t="s">
        <v>28</v>
      </c>
      <c r="E127" s="7" t="s">
        <v>4</v>
      </c>
      <c r="F127" s="17" t="s">
        <v>4</v>
      </c>
      <c r="G127" s="9">
        <f t="shared" si="2"/>
        <v>6</v>
      </c>
      <c r="H127" s="7" t="s">
        <v>29</v>
      </c>
      <c r="I127" s="7" t="s">
        <v>29</v>
      </c>
      <c r="J127" s="7" t="s">
        <v>29</v>
      </c>
      <c r="K127" s="7" t="s">
        <v>28</v>
      </c>
      <c r="L127" s="7" t="s">
        <v>29</v>
      </c>
      <c r="M127" s="7" t="s">
        <v>29</v>
      </c>
      <c r="N127" s="7" t="s">
        <v>28</v>
      </c>
      <c r="O127" s="19" t="s">
        <v>28</v>
      </c>
      <c r="P127" s="7" t="s">
        <v>28</v>
      </c>
      <c r="Q127" s="7" t="s">
        <v>28</v>
      </c>
      <c r="R127" s="7" t="s">
        <v>29</v>
      </c>
      <c r="S127" s="12"/>
      <c r="T127" s="13"/>
      <c r="V127" s="4">
        <f t="shared" ref="V127:AH127" si="127">COUNTIF($F$2:$F127,V$1)</f>
        <v>4</v>
      </c>
      <c r="W127" s="4">
        <f t="shared" si="127"/>
        <v>18</v>
      </c>
      <c r="X127" s="4">
        <f t="shared" si="127"/>
        <v>7</v>
      </c>
      <c r="Y127" s="4">
        <f t="shared" si="127"/>
        <v>10</v>
      </c>
      <c r="Z127" s="4">
        <f t="shared" si="127"/>
        <v>24</v>
      </c>
      <c r="AA127" s="4">
        <f t="shared" si="127"/>
        <v>5</v>
      </c>
      <c r="AB127" s="4">
        <f t="shared" si="127"/>
        <v>7</v>
      </c>
      <c r="AC127" s="4">
        <f t="shared" si="127"/>
        <v>11</v>
      </c>
      <c r="AD127" s="4">
        <f t="shared" si="127"/>
        <v>28</v>
      </c>
      <c r="AE127" s="4">
        <f t="shared" si="127"/>
        <v>2</v>
      </c>
      <c r="AF127" s="4">
        <f t="shared" si="127"/>
        <v>9</v>
      </c>
      <c r="AG127" s="4">
        <f t="shared" si="127"/>
        <v>0</v>
      </c>
      <c r="AH127" s="4">
        <f t="shared" si="127"/>
        <v>0</v>
      </c>
    </row>
    <row r="128">
      <c r="A128" s="7">
        <v>127.0</v>
      </c>
      <c r="B128" s="16">
        <v>43768.0</v>
      </c>
      <c r="C128" s="7" t="s">
        <v>49</v>
      </c>
      <c r="D128" s="7" t="s">
        <v>28</v>
      </c>
      <c r="E128" s="7" t="s">
        <v>10</v>
      </c>
      <c r="F128" s="17" t="s">
        <v>4</v>
      </c>
      <c r="G128" s="9">
        <f t="shared" si="2"/>
        <v>6</v>
      </c>
      <c r="H128" s="7" t="s">
        <v>29</v>
      </c>
      <c r="I128" s="7" t="s">
        <v>29</v>
      </c>
      <c r="J128" s="7" t="s">
        <v>29</v>
      </c>
      <c r="K128" s="7" t="s">
        <v>28</v>
      </c>
      <c r="L128" s="7" t="s">
        <v>29</v>
      </c>
      <c r="M128" s="7" t="s">
        <v>28</v>
      </c>
      <c r="N128" s="7" t="s">
        <v>28</v>
      </c>
      <c r="O128" s="19" t="s">
        <v>28</v>
      </c>
      <c r="P128" s="7" t="s">
        <v>29</v>
      </c>
      <c r="Q128" s="7" t="s">
        <v>28</v>
      </c>
      <c r="R128" s="7" t="s">
        <v>29</v>
      </c>
      <c r="S128" s="12"/>
      <c r="T128" s="13"/>
      <c r="V128" s="4">
        <f t="shared" ref="V128:AH128" si="128">COUNTIF($F$2:$F128,V$1)</f>
        <v>4</v>
      </c>
      <c r="W128" s="4">
        <f t="shared" si="128"/>
        <v>18</v>
      </c>
      <c r="X128" s="4">
        <f t="shared" si="128"/>
        <v>7</v>
      </c>
      <c r="Y128" s="4">
        <f t="shared" si="128"/>
        <v>10</v>
      </c>
      <c r="Z128" s="4">
        <f t="shared" si="128"/>
        <v>25</v>
      </c>
      <c r="AA128" s="4">
        <f t="shared" si="128"/>
        <v>5</v>
      </c>
      <c r="AB128" s="4">
        <f t="shared" si="128"/>
        <v>7</v>
      </c>
      <c r="AC128" s="4">
        <f t="shared" si="128"/>
        <v>11</v>
      </c>
      <c r="AD128" s="4">
        <f t="shared" si="128"/>
        <v>28</v>
      </c>
      <c r="AE128" s="4">
        <f t="shared" si="128"/>
        <v>2</v>
      </c>
      <c r="AF128" s="4">
        <f t="shared" si="128"/>
        <v>9</v>
      </c>
      <c r="AG128" s="4">
        <f t="shared" si="128"/>
        <v>0</v>
      </c>
      <c r="AH128" s="4">
        <f t="shared" si="128"/>
        <v>0</v>
      </c>
    </row>
    <row r="129">
      <c r="A129" s="7">
        <v>128.0</v>
      </c>
      <c r="B129" s="16">
        <v>43790.0</v>
      </c>
      <c r="C129" s="7" t="s">
        <v>49</v>
      </c>
      <c r="D129" s="7" t="s">
        <v>28</v>
      </c>
      <c r="E129" s="7" t="s">
        <v>0</v>
      </c>
      <c r="F129" s="17" t="s">
        <v>0</v>
      </c>
      <c r="G129" s="9">
        <f t="shared" si="2"/>
        <v>6</v>
      </c>
      <c r="H129" s="7" t="s">
        <v>29</v>
      </c>
      <c r="I129" s="7" t="s">
        <v>29</v>
      </c>
      <c r="J129" s="7" t="s">
        <v>28</v>
      </c>
      <c r="K129" s="7" t="s">
        <v>28</v>
      </c>
      <c r="L129" s="7" t="s">
        <v>29</v>
      </c>
      <c r="M129" s="7" t="s">
        <v>29</v>
      </c>
      <c r="N129" s="7" t="s">
        <v>28</v>
      </c>
      <c r="O129" s="19" t="s">
        <v>28</v>
      </c>
      <c r="P129" s="7" t="s">
        <v>28</v>
      </c>
      <c r="Q129" s="7" t="s">
        <v>29</v>
      </c>
      <c r="R129" s="7" t="s">
        <v>29</v>
      </c>
      <c r="S129" s="12"/>
      <c r="T129" s="13"/>
      <c r="V129" s="4">
        <f t="shared" ref="V129:AH129" si="129">COUNTIF($F$2:$F129,V$1)</f>
        <v>5</v>
      </c>
      <c r="W129" s="4">
        <f t="shared" si="129"/>
        <v>18</v>
      </c>
      <c r="X129" s="4">
        <f t="shared" si="129"/>
        <v>7</v>
      </c>
      <c r="Y129" s="4">
        <f t="shared" si="129"/>
        <v>10</v>
      </c>
      <c r="Z129" s="4">
        <f t="shared" si="129"/>
        <v>25</v>
      </c>
      <c r="AA129" s="4">
        <f t="shared" si="129"/>
        <v>5</v>
      </c>
      <c r="AB129" s="4">
        <f t="shared" si="129"/>
        <v>7</v>
      </c>
      <c r="AC129" s="4">
        <f t="shared" si="129"/>
        <v>11</v>
      </c>
      <c r="AD129" s="4">
        <f t="shared" si="129"/>
        <v>28</v>
      </c>
      <c r="AE129" s="4">
        <f t="shared" si="129"/>
        <v>2</v>
      </c>
      <c r="AF129" s="4">
        <f t="shared" si="129"/>
        <v>9</v>
      </c>
      <c r="AG129" s="4">
        <f t="shared" si="129"/>
        <v>0</v>
      </c>
      <c r="AH129" s="4">
        <f t="shared" si="129"/>
        <v>0</v>
      </c>
    </row>
    <row r="130">
      <c r="A130" s="7">
        <v>129.0</v>
      </c>
      <c r="B130" s="16">
        <v>43808.0</v>
      </c>
      <c r="C130" s="7" t="s">
        <v>49</v>
      </c>
      <c r="D130" s="7" t="s">
        <v>28</v>
      </c>
      <c r="E130" s="7" t="s">
        <v>5</v>
      </c>
      <c r="F130" s="17" t="s">
        <v>8</v>
      </c>
      <c r="G130" s="9">
        <f t="shared" si="2"/>
        <v>7</v>
      </c>
      <c r="H130" s="7" t="s">
        <v>29</v>
      </c>
      <c r="I130" s="7" t="s">
        <v>29</v>
      </c>
      <c r="J130" s="7" t="s">
        <v>29</v>
      </c>
      <c r="K130" s="7" t="s">
        <v>28</v>
      </c>
      <c r="L130" s="7" t="s">
        <v>29</v>
      </c>
      <c r="M130" s="7" t="s">
        <v>29</v>
      </c>
      <c r="N130" s="7" t="s">
        <v>28</v>
      </c>
      <c r="O130" s="19" t="s">
        <v>28</v>
      </c>
      <c r="P130" s="7" t="s">
        <v>29</v>
      </c>
      <c r="Q130" s="7" t="s">
        <v>28</v>
      </c>
      <c r="R130" s="7" t="s">
        <v>29</v>
      </c>
      <c r="S130" s="12"/>
      <c r="T130" s="13"/>
      <c r="V130" s="4">
        <f t="shared" ref="V130:AH130" si="130">COUNTIF($F$2:$F130,V$1)</f>
        <v>5</v>
      </c>
      <c r="W130" s="4">
        <f t="shared" si="130"/>
        <v>18</v>
      </c>
      <c r="X130" s="4">
        <f t="shared" si="130"/>
        <v>7</v>
      </c>
      <c r="Y130" s="4">
        <f t="shared" si="130"/>
        <v>10</v>
      </c>
      <c r="Z130" s="4">
        <f t="shared" si="130"/>
        <v>25</v>
      </c>
      <c r="AA130" s="4">
        <f t="shared" si="130"/>
        <v>5</v>
      </c>
      <c r="AB130" s="4">
        <f t="shared" si="130"/>
        <v>7</v>
      </c>
      <c r="AC130" s="4">
        <f t="shared" si="130"/>
        <v>11</v>
      </c>
      <c r="AD130" s="4">
        <f t="shared" si="130"/>
        <v>29</v>
      </c>
      <c r="AE130" s="4">
        <f t="shared" si="130"/>
        <v>2</v>
      </c>
      <c r="AF130" s="4">
        <f t="shared" si="130"/>
        <v>9</v>
      </c>
      <c r="AG130" s="4">
        <f t="shared" si="130"/>
        <v>0</v>
      </c>
      <c r="AH130" s="4">
        <f t="shared" si="130"/>
        <v>0</v>
      </c>
    </row>
    <row r="131">
      <c r="A131" s="7">
        <v>130.0</v>
      </c>
      <c r="B131" s="16">
        <v>43857.0</v>
      </c>
      <c r="C131" s="7" t="s">
        <v>49</v>
      </c>
      <c r="D131" s="7" t="s">
        <v>28</v>
      </c>
      <c r="E131" s="7" t="s">
        <v>1</v>
      </c>
      <c r="F131" s="17" t="s">
        <v>9</v>
      </c>
      <c r="G131" s="9">
        <f t="shared" si="2"/>
        <v>8</v>
      </c>
      <c r="H131" s="7" t="s">
        <v>29</v>
      </c>
      <c r="I131" s="7" t="s">
        <v>29</v>
      </c>
      <c r="J131" s="7" t="s">
        <v>29</v>
      </c>
      <c r="K131" s="7" t="s">
        <v>29</v>
      </c>
      <c r="L131" s="7" t="s">
        <v>29</v>
      </c>
      <c r="M131" s="7" t="s">
        <v>29</v>
      </c>
      <c r="N131" s="7" t="s">
        <v>28</v>
      </c>
      <c r="O131" s="19" t="s">
        <v>28</v>
      </c>
      <c r="P131" s="7" t="s">
        <v>29</v>
      </c>
      <c r="Q131" s="7" t="s">
        <v>29</v>
      </c>
      <c r="R131" s="7" t="s">
        <v>28</v>
      </c>
      <c r="S131" s="12"/>
      <c r="T131" s="13"/>
      <c r="V131" s="4">
        <f t="shared" ref="V131:AH131" si="131">COUNTIF($F$2:$F131,V$1)</f>
        <v>5</v>
      </c>
      <c r="W131" s="4">
        <f t="shared" si="131"/>
        <v>18</v>
      </c>
      <c r="X131" s="4">
        <f t="shared" si="131"/>
        <v>7</v>
      </c>
      <c r="Y131" s="4">
        <f t="shared" si="131"/>
        <v>10</v>
      </c>
      <c r="Z131" s="4">
        <f t="shared" si="131"/>
        <v>25</v>
      </c>
      <c r="AA131" s="4">
        <f t="shared" si="131"/>
        <v>5</v>
      </c>
      <c r="AB131" s="4">
        <f t="shared" si="131"/>
        <v>7</v>
      </c>
      <c r="AC131" s="4">
        <f t="shared" si="131"/>
        <v>11</v>
      </c>
      <c r="AD131" s="4">
        <f t="shared" si="131"/>
        <v>29</v>
      </c>
      <c r="AE131" s="4">
        <f t="shared" si="131"/>
        <v>3</v>
      </c>
      <c r="AF131" s="4">
        <f t="shared" si="131"/>
        <v>9</v>
      </c>
      <c r="AG131" s="4">
        <f t="shared" si="131"/>
        <v>0</v>
      </c>
      <c r="AH131" s="4">
        <f t="shared" si="131"/>
        <v>0</v>
      </c>
    </row>
    <row r="132">
      <c r="A132" s="7">
        <v>131.0</v>
      </c>
      <c r="B132" s="16">
        <v>43886.0</v>
      </c>
      <c r="C132" s="7" t="s">
        <v>49</v>
      </c>
      <c r="D132" s="7" t="s">
        <v>28</v>
      </c>
      <c r="E132" s="7" t="s">
        <v>8</v>
      </c>
      <c r="F132" s="17" t="s">
        <v>9</v>
      </c>
      <c r="G132" s="9">
        <f t="shared" si="2"/>
        <v>8</v>
      </c>
      <c r="H132" s="7" t="s">
        <v>29</v>
      </c>
      <c r="I132" s="7" t="s">
        <v>29</v>
      </c>
      <c r="J132" s="7" t="s">
        <v>29</v>
      </c>
      <c r="K132" s="7" t="s">
        <v>29</v>
      </c>
      <c r="L132" s="7" t="s">
        <v>29</v>
      </c>
      <c r="M132" s="7" t="s">
        <v>29</v>
      </c>
      <c r="N132" s="7" t="s">
        <v>28</v>
      </c>
      <c r="O132" s="19" t="s">
        <v>28</v>
      </c>
      <c r="P132" s="7" t="s">
        <v>29</v>
      </c>
      <c r="Q132" s="7" t="s">
        <v>29</v>
      </c>
      <c r="R132" s="7" t="s">
        <v>28</v>
      </c>
      <c r="S132" s="12"/>
      <c r="T132" s="13"/>
      <c r="V132" s="4">
        <f t="shared" ref="V132:AH132" si="132">COUNTIF($F$2:$F132,V$1)</f>
        <v>5</v>
      </c>
      <c r="W132" s="4">
        <f t="shared" si="132"/>
        <v>18</v>
      </c>
      <c r="X132" s="4">
        <f t="shared" si="132"/>
        <v>7</v>
      </c>
      <c r="Y132" s="4">
        <f t="shared" si="132"/>
        <v>10</v>
      </c>
      <c r="Z132" s="4">
        <f t="shared" si="132"/>
        <v>25</v>
      </c>
      <c r="AA132" s="4">
        <f t="shared" si="132"/>
        <v>5</v>
      </c>
      <c r="AB132" s="4">
        <f t="shared" si="132"/>
        <v>7</v>
      </c>
      <c r="AC132" s="4">
        <f t="shared" si="132"/>
        <v>11</v>
      </c>
      <c r="AD132" s="4">
        <f t="shared" si="132"/>
        <v>29</v>
      </c>
      <c r="AE132" s="4">
        <f t="shared" si="132"/>
        <v>4</v>
      </c>
      <c r="AF132" s="4">
        <f t="shared" si="132"/>
        <v>9</v>
      </c>
      <c r="AG132" s="4">
        <f t="shared" si="132"/>
        <v>0</v>
      </c>
      <c r="AH132" s="4">
        <f t="shared" si="132"/>
        <v>0</v>
      </c>
    </row>
    <row r="133">
      <c r="A133" s="7">
        <v>132.0</v>
      </c>
      <c r="B133" s="16">
        <v>43915.0</v>
      </c>
      <c r="C133" s="7" t="s">
        <v>49</v>
      </c>
      <c r="D133" s="7" t="s">
        <v>28</v>
      </c>
      <c r="E133" s="7" t="s">
        <v>50</v>
      </c>
      <c r="F133" s="17" t="s">
        <v>3</v>
      </c>
      <c r="G133" s="9">
        <f t="shared" si="2"/>
        <v>8</v>
      </c>
      <c r="H133" s="7" t="s">
        <v>29</v>
      </c>
      <c r="I133" s="7" t="s">
        <v>29</v>
      </c>
      <c r="J133" s="7" t="s">
        <v>29</v>
      </c>
      <c r="K133" s="7" t="s">
        <v>29</v>
      </c>
      <c r="L133" s="7" t="s">
        <v>29</v>
      </c>
      <c r="M133" s="7" t="s">
        <v>29</v>
      </c>
      <c r="N133" s="7" t="s">
        <v>28</v>
      </c>
      <c r="O133" s="19" t="s">
        <v>28</v>
      </c>
      <c r="P133" s="7" t="s">
        <v>29</v>
      </c>
      <c r="Q133" s="7" t="s">
        <v>29</v>
      </c>
      <c r="R133" s="7" t="s">
        <v>28</v>
      </c>
      <c r="S133" s="12"/>
      <c r="T133" s="13"/>
      <c r="V133" s="4">
        <f t="shared" ref="V133:AH133" si="133">COUNTIF($F$2:$F133,V$1)</f>
        <v>5</v>
      </c>
      <c r="W133" s="4">
        <f t="shared" si="133"/>
        <v>18</v>
      </c>
      <c r="X133" s="4">
        <f t="shared" si="133"/>
        <v>7</v>
      </c>
      <c r="Y133" s="4">
        <f t="shared" si="133"/>
        <v>11</v>
      </c>
      <c r="Z133" s="4">
        <f t="shared" si="133"/>
        <v>25</v>
      </c>
      <c r="AA133" s="4">
        <f t="shared" si="133"/>
        <v>5</v>
      </c>
      <c r="AB133" s="4">
        <f t="shared" si="133"/>
        <v>7</v>
      </c>
      <c r="AC133" s="4">
        <f t="shared" si="133"/>
        <v>11</v>
      </c>
      <c r="AD133" s="4">
        <f t="shared" si="133"/>
        <v>29</v>
      </c>
      <c r="AE133" s="4">
        <f t="shared" si="133"/>
        <v>4</v>
      </c>
      <c r="AF133" s="4">
        <f t="shared" si="133"/>
        <v>9</v>
      </c>
      <c r="AG133" s="4">
        <f t="shared" si="133"/>
        <v>0</v>
      </c>
      <c r="AH133" s="4">
        <f t="shared" si="133"/>
        <v>0</v>
      </c>
    </row>
    <row r="134">
      <c r="A134" s="7">
        <v>133.0</v>
      </c>
      <c r="B134" s="16">
        <v>43930.0</v>
      </c>
      <c r="C134" s="7" t="s">
        <v>49</v>
      </c>
      <c r="D134" s="7" t="s">
        <v>28</v>
      </c>
      <c r="E134" s="7" t="s">
        <v>50</v>
      </c>
      <c r="F134" s="17" t="s">
        <v>7</v>
      </c>
      <c r="G134" s="9">
        <f t="shared" si="2"/>
        <v>10</v>
      </c>
      <c r="H134" s="7" t="s">
        <v>29</v>
      </c>
      <c r="I134" s="7" t="s">
        <v>29</v>
      </c>
      <c r="J134" s="7" t="s">
        <v>29</v>
      </c>
      <c r="K134" s="7" t="s">
        <v>29</v>
      </c>
      <c r="L134" s="7" t="s">
        <v>29</v>
      </c>
      <c r="M134" s="7" t="s">
        <v>29</v>
      </c>
      <c r="N134" s="7" t="s">
        <v>28</v>
      </c>
      <c r="O134" s="7" t="s">
        <v>29</v>
      </c>
      <c r="P134" s="7" t="s">
        <v>29</v>
      </c>
      <c r="Q134" s="7" t="s">
        <v>29</v>
      </c>
      <c r="R134" s="7" t="s">
        <v>29</v>
      </c>
      <c r="S134" s="12"/>
      <c r="T134" s="13"/>
      <c r="V134" s="4">
        <f t="shared" ref="V134:AH134" si="134">COUNTIF($F$2:$F134,V$1)</f>
        <v>5</v>
      </c>
      <c r="W134" s="4">
        <f t="shared" si="134"/>
        <v>18</v>
      </c>
      <c r="X134" s="4">
        <f t="shared" si="134"/>
        <v>7</v>
      </c>
      <c r="Y134" s="4">
        <f t="shared" si="134"/>
        <v>11</v>
      </c>
      <c r="Z134" s="4">
        <f t="shared" si="134"/>
        <v>25</v>
      </c>
      <c r="AA134" s="4">
        <f t="shared" si="134"/>
        <v>5</v>
      </c>
      <c r="AB134" s="4">
        <f t="shared" si="134"/>
        <v>7</v>
      </c>
      <c r="AC134" s="4">
        <f t="shared" si="134"/>
        <v>12</v>
      </c>
      <c r="AD134" s="4">
        <f t="shared" si="134"/>
        <v>29</v>
      </c>
      <c r="AE134" s="4">
        <f t="shared" si="134"/>
        <v>4</v>
      </c>
      <c r="AF134" s="4">
        <f t="shared" si="134"/>
        <v>9</v>
      </c>
      <c r="AG134" s="4">
        <f t="shared" si="134"/>
        <v>0</v>
      </c>
      <c r="AH134" s="4">
        <f t="shared" si="134"/>
        <v>0</v>
      </c>
    </row>
    <row r="135">
      <c r="A135" s="7">
        <v>134.0</v>
      </c>
      <c r="B135" s="16">
        <v>43956.0</v>
      </c>
      <c r="C135" s="7" t="s">
        <v>49</v>
      </c>
      <c r="D135" s="7" t="s">
        <v>28</v>
      </c>
      <c r="E135" s="7" t="s">
        <v>50</v>
      </c>
      <c r="F135" s="7" t="s">
        <v>8</v>
      </c>
      <c r="G135" s="9">
        <f t="shared" si="2"/>
        <v>9</v>
      </c>
      <c r="H135" s="7" t="s">
        <v>29</v>
      </c>
      <c r="I135" s="7" t="s">
        <v>29</v>
      </c>
      <c r="J135" s="7" t="s">
        <v>29</v>
      </c>
      <c r="K135" s="7" t="s">
        <v>29</v>
      </c>
      <c r="L135" s="7" t="s">
        <v>29</v>
      </c>
      <c r="M135" s="7" t="s">
        <v>29</v>
      </c>
      <c r="N135" s="7" t="s">
        <v>28</v>
      </c>
      <c r="O135" s="7" t="s">
        <v>29</v>
      </c>
      <c r="P135" s="7" t="s">
        <v>29</v>
      </c>
      <c r="Q135" s="7" t="s">
        <v>29</v>
      </c>
      <c r="R135" s="7" t="s">
        <v>28</v>
      </c>
      <c r="S135" s="12"/>
      <c r="T135" s="13"/>
      <c r="V135" s="4">
        <f t="shared" ref="V135:AH135" si="135">COUNTIF($F$2:$F135,V$1)</f>
        <v>5</v>
      </c>
      <c r="W135" s="4">
        <f t="shared" si="135"/>
        <v>18</v>
      </c>
      <c r="X135" s="4">
        <f t="shared" si="135"/>
        <v>7</v>
      </c>
      <c r="Y135" s="4">
        <f t="shared" si="135"/>
        <v>11</v>
      </c>
      <c r="Z135" s="4">
        <f t="shared" si="135"/>
        <v>25</v>
      </c>
      <c r="AA135" s="4">
        <f t="shared" si="135"/>
        <v>5</v>
      </c>
      <c r="AB135" s="4">
        <f t="shared" si="135"/>
        <v>7</v>
      </c>
      <c r="AC135" s="4">
        <f t="shared" si="135"/>
        <v>12</v>
      </c>
      <c r="AD135" s="4">
        <f t="shared" si="135"/>
        <v>30</v>
      </c>
      <c r="AE135" s="4">
        <f t="shared" si="135"/>
        <v>4</v>
      </c>
      <c r="AF135" s="4">
        <f t="shared" si="135"/>
        <v>9</v>
      </c>
      <c r="AG135" s="4">
        <f t="shared" si="135"/>
        <v>0</v>
      </c>
      <c r="AH135" s="4">
        <f t="shared" si="135"/>
        <v>0</v>
      </c>
    </row>
    <row r="136">
      <c r="A136" s="7">
        <v>135.0</v>
      </c>
      <c r="B136" s="16">
        <v>43985.0</v>
      </c>
      <c r="C136" s="7" t="s">
        <v>49</v>
      </c>
      <c r="D136" s="7" t="s">
        <v>28</v>
      </c>
      <c r="E136" s="7" t="s">
        <v>50</v>
      </c>
      <c r="F136" s="7" t="s">
        <v>9</v>
      </c>
      <c r="G136" s="9">
        <f t="shared" si="2"/>
        <v>9</v>
      </c>
      <c r="H136" s="7" t="s">
        <v>29</v>
      </c>
      <c r="I136" s="7" t="s">
        <v>29</v>
      </c>
      <c r="J136" s="7" t="s">
        <v>29</v>
      </c>
      <c r="K136" s="7" t="s">
        <v>29</v>
      </c>
      <c r="L136" s="7" t="s">
        <v>29</v>
      </c>
      <c r="M136" s="7" t="s">
        <v>29</v>
      </c>
      <c r="N136" s="7" t="s">
        <v>28</v>
      </c>
      <c r="O136" s="7" t="s">
        <v>29</v>
      </c>
      <c r="P136" s="7" t="s">
        <v>29</v>
      </c>
      <c r="Q136" s="7" t="s">
        <v>29</v>
      </c>
      <c r="R136" s="7" t="s">
        <v>28</v>
      </c>
      <c r="S136" s="12"/>
      <c r="T136" s="13"/>
      <c r="V136" s="4">
        <f t="shared" ref="V136:AH136" si="136">COUNTIF($F$2:$F136,V$1)</f>
        <v>5</v>
      </c>
      <c r="W136" s="4">
        <f t="shared" si="136"/>
        <v>18</v>
      </c>
      <c r="X136" s="4">
        <f t="shared" si="136"/>
        <v>7</v>
      </c>
      <c r="Y136" s="4">
        <f t="shared" si="136"/>
        <v>11</v>
      </c>
      <c r="Z136" s="4">
        <f t="shared" si="136"/>
        <v>25</v>
      </c>
      <c r="AA136" s="4">
        <f t="shared" si="136"/>
        <v>5</v>
      </c>
      <c r="AB136" s="4">
        <f t="shared" si="136"/>
        <v>7</v>
      </c>
      <c r="AC136" s="4">
        <f t="shared" si="136"/>
        <v>12</v>
      </c>
      <c r="AD136" s="4">
        <f t="shared" si="136"/>
        <v>30</v>
      </c>
      <c r="AE136" s="4">
        <f t="shared" si="136"/>
        <v>5</v>
      </c>
      <c r="AF136" s="4">
        <f t="shared" si="136"/>
        <v>9</v>
      </c>
      <c r="AG136" s="4">
        <f t="shared" si="136"/>
        <v>0</v>
      </c>
      <c r="AH136" s="4">
        <f t="shared" si="136"/>
        <v>0</v>
      </c>
    </row>
    <row r="137">
      <c r="A137" s="7">
        <v>136.0</v>
      </c>
      <c r="B137" s="16">
        <v>44026.0</v>
      </c>
      <c r="C137" s="7" t="s">
        <v>49</v>
      </c>
      <c r="D137" s="7" t="s">
        <v>28</v>
      </c>
      <c r="E137" s="7" t="s">
        <v>50</v>
      </c>
      <c r="F137" s="7" t="s">
        <v>7</v>
      </c>
      <c r="G137" s="9">
        <f t="shared" si="2"/>
        <v>8</v>
      </c>
      <c r="H137" s="7" t="s">
        <v>28</v>
      </c>
      <c r="I137" s="7" t="s">
        <v>29</v>
      </c>
      <c r="J137" s="7" t="s">
        <v>29</v>
      </c>
      <c r="K137" s="7" t="s">
        <v>29</v>
      </c>
      <c r="L137" s="7" t="s">
        <v>29</v>
      </c>
      <c r="M137" s="7" t="s">
        <v>29</v>
      </c>
      <c r="N137" s="7" t="s">
        <v>28</v>
      </c>
      <c r="O137" s="7" t="s">
        <v>29</v>
      </c>
      <c r="P137" s="7" t="s">
        <v>29</v>
      </c>
      <c r="Q137" s="7" t="s">
        <v>29</v>
      </c>
      <c r="R137" s="7" t="s">
        <v>28</v>
      </c>
      <c r="S137" s="12"/>
      <c r="T137" s="13"/>
      <c r="V137" s="4">
        <f t="shared" ref="V137:AH137" si="137">COUNTIF($F$2:$F137,V$1)</f>
        <v>5</v>
      </c>
      <c r="W137" s="4">
        <f t="shared" si="137"/>
        <v>18</v>
      </c>
      <c r="X137" s="4">
        <f t="shared" si="137"/>
        <v>7</v>
      </c>
      <c r="Y137" s="4">
        <f t="shared" si="137"/>
        <v>11</v>
      </c>
      <c r="Z137" s="4">
        <f t="shared" si="137"/>
        <v>25</v>
      </c>
      <c r="AA137" s="4">
        <f t="shared" si="137"/>
        <v>5</v>
      </c>
      <c r="AB137" s="4">
        <f t="shared" si="137"/>
        <v>7</v>
      </c>
      <c r="AC137" s="4">
        <f t="shared" si="137"/>
        <v>13</v>
      </c>
      <c r="AD137" s="4">
        <f t="shared" si="137"/>
        <v>30</v>
      </c>
      <c r="AE137" s="4">
        <f t="shared" si="137"/>
        <v>5</v>
      </c>
      <c r="AF137" s="4">
        <f t="shared" si="137"/>
        <v>9</v>
      </c>
      <c r="AG137" s="4">
        <f t="shared" si="137"/>
        <v>0</v>
      </c>
      <c r="AH137" s="4">
        <f t="shared" si="137"/>
        <v>0</v>
      </c>
    </row>
    <row r="138">
      <c r="A138" s="7">
        <v>137.0</v>
      </c>
      <c r="B138" s="16">
        <v>44084.0</v>
      </c>
      <c r="C138" s="7" t="s">
        <v>49</v>
      </c>
      <c r="D138" s="7" t="s">
        <v>28</v>
      </c>
      <c r="E138" s="7" t="s">
        <v>50</v>
      </c>
      <c r="F138" s="7" t="s">
        <v>2</v>
      </c>
      <c r="G138" s="9">
        <f t="shared" si="2"/>
        <v>6</v>
      </c>
      <c r="H138" s="7" t="s">
        <v>28</v>
      </c>
      <c r="I138" s="7" t="s">
        <v>28</v>
      </c>
      <c r="J138" s="7" t="s">
        <v>29</v>
      </c>
      <c r="K138" s="7" t="s">
        <v>28</v>
      </c>
      <c r="L138" s="7" t="s">
        <v>29</v>
      </c>
      <c r="M138" s="7" t="s">
        <v>29</v>
      </c>
      <c r="N138" s="7" t="s">
        <v>28</v>
      </c>
      <c r="O138" s="7" t="s">
        <v>29</v>
      </c>
      <c r="P138" s="7" t="s">
        <v>29</v>
      </c>
      <c r="Q138" s="7" t="s">
        <v>29</v>
      </c>
      <c r="R138" s="7" t="s">
        <v>28</v>
      </c>
      <c r="S138" s="12"/>
      <c r="T138" s="13"/>
      <c r="V138" s="4">
        <f t="shared" ref="V138:AH138" si="138">COUNTIF($F$2:$F138,V$1)</f>
        <v>5</v>
      </c>
      <c r="W138" s="4">
        <f t="shared" si="138"/>
        <v>18</v>
      </c>
      <c r="X138" s="4">
        <f t="shared" si="138"/>
        <v>8</v>
      </c>
      <c r="Y138" s="4">
        <f t="shared" si="138"/>
        <v>11</v>
      </c>
      <c r="Z138" s="4">
        <f t="shared" si="138"/>
        <v>25</v>
      </c>
      <c r="AA138" s="4">
        <f t="shared" si="138"/>
        <v>5</v>
      </c>
      <c r="AB138" s="4">
        <f t="shared" si="138"/>
        <v>7</v>
      </c>
      <c r="AC138" s="4">
        <f t="shared" si="138"/>
        <v>13</v>
      </c>
      <c r="AD138" s="4">
        <f t="shared" si="138"/>
        <v>30</v>
      </c>
      <c r="AE138" s="4">
        <f t="shared" si="138"/>
        <v>5</v>
      </c>
      <c r="AF138" s="4">
        <f t="shared" si="138"/>
        <v>9</v>
      </c>
      <c r="AG138" s="4">
        <f t="shared" si="138"/>
        <v>0</v>
      </c>
      <c r="AH138" s="4">
        <f t="shared" si="138"/>
        <v>0</v>
      </c>
    </row>
    <row r="139">
      <c r="A139" s="7">
        <v>138.0</v>
      </c>
      <c r="B139" s="16">
        <v>44173.0</v>
      </c>
      <c r="C139" s="7" t="s">
        <v>51</v>
      </c>
      <c r="D139" s="7" t="s">
        <v>28</v>
      </c>
      <c r="E139" s="7" t="s">
        <v>50</v>
      </c>
      <c r="F139" s="7" t="s">
        <v>7</v>
      </c>
      <c r="G139" s="9">
        <f t="shared" si="2"/>
        <v>9</v>
      </c>
      <c r="H139" s="7" t="s">
        <v>29</v>
      </c>
      <c r="I139" s="7" t="s">
        <v>29</v>
      </c>
      <c r="J139" s="7" t="s">
        <v>29</v>
      </c>
      <c r="K139" s="7" t="s">
        <v>29</v>
      </c>
      <c r="L139" s="7" t="s">
        <v>29</v>
      </c>
      <c r="M139" s="7" t="s">
        <v>29</v>
      </c>
      <c r="N139" s="7" t="s">
        <v>28</v>
      </c>
      <c r="O139" s="7" t="s">
        <v>29</v>
      </c>
      <c r="P139" s="7" t="s">
        <v>29</v>
      </c>
      <c r="Q139" s="7" t="s">
        <v>29</v>
      </c>
      <c r="R139" s="7" t="s">
        <v>28</v>
      </c>
      <c r="S139" s="12"/>
      <c r="T139" s="13"/>
      <c r="V139" s="4">
        <f t="shared" ref="V139:AH139" si="139">COUNTIF($F$2:$F139,V$1)</f>
        <v>5</v>
      </c>
      <c r="W139" s="4">
        <f t="shared" si="139"/>
        <v>18</v>
      </c>
      <c r="X139" s="4">
        <f t="shared" si="139"/>
        <v>8</v>
      </c>
      <c r="Y139" s="4">
        <f t="shared" si="139"/>
        <v>11</v>
      </c>
      <c r="Z139" s="4">
        <f t="shared" si="139"/>
        <v>25</v>
      </c>
      <c r="AA139" s="4">
        <f t="shared" si="139"/>
        <v>5</v>
      </c>
      <c r="AB139" s="4">
        <f t="shared" si="139"/>
        <v>7</v>
      </c>
      <c r="AC139" s="4">
        <f t="shared" si="139"/>
        <v>14</v>
      </c>
      <c r="AD139" s="4">
        <f t="shared" si="139"/>
        <v>30</v>
      </c>
      <c r="AE139" s="4">
        <f t="shared" si="139"/>
        <v>5</v>
      </c>
      <c r="AF139" s="4">
        <f t="shared" si="139"/>
        <v>9</v>
      </c>
      <c r="AG139" s="4">
        <f t="shared" si="139"/>
        <v>0</v>
      </c>
      <c r="AH139" s="4">
        <f t="shared" si="139"/>
        <v>0</v>
      </c>
    </row>
    <row r="140">
      <c r="A140" s="7">
        <v>139.0</v>
      </c>
      <c r="B140" s="16">
        <v>44217.0</v>
      </c>
      <c r="C140" s="7" t="s">
        <v>51</v>
      </c>
      <c r="D140" s="7" t="s">
        <v>28</v>
      </c>
      <c r="E140" s="7" t="s">
        <v>50</v>
      </c>
      <c r="F140" s="7" t="s">
        <v>1</v>
      </c>
      <c r="G140" s="9">
        <f t="shared" si="2"/>
        <v>10</v>
      </c>
      <c r="H140" s="7" t="s">
        <v>29</v>
      </c>
      <c r="I140" s="7" t="s">
        <v>29</v>
      </c>
      <c r="J140" s="7" t="s">
        <v>29</v>
      </c>
      <c r="K140" s="7" t="s">
        <v>29</v>
      </c>
      <c r="L140" s="7" t="s">
        <v>29</v>
      </c>
      <c r="M140" s="7" t="s">
        <v>29</v>
      </c>
      <c r="N140" s="7" t="s">
        <v>28</v>
      </c>
      <c r="O140" s="7" t="s">
        <v>29</v>
      </c>
      <c r="P140" s="7" t="s">
        <v>29</v>
      </c>
      <c r="Q140" s="7" t="s">
        <v>29</v>
      </c>
      <c r="R140" s="7" t="s">
        <v>29</v>
      </c>
      <c r="S140" s="12"/>
      <c r="T140" s="13"/>
      <c r="V140" s="4">
        <f t="shared" ref="V140:AH140" si="140">COUNTIF($F$2:$F140,V$1)</f>
        <v>5</v>
      </c>
      <c r="W140" s="4">
        <f t="shared" si="140"/>
        <v>19</v>
      </c>
      <c r="X140" s="4">
        <f t="shared" si="140"/>
        <v>8</v>
      </c>
      <c r="Y140" s="4">
        <f t="shared" si="140"/>
        <v>11</v>
      </c>
      <c r="Z140" s="4">
        <f t="shared" si="140"/>
        <v>25</v>
      </c>
      <c r="AA140" s="4">
        <f t="shared" si="140"/>
        <v>5</v>
      </c>
      <c r="AB140" s="4">
        <f t="shared" si="140"/>
        <v>7</v>
      </c>
      <c r="AC140" s="4">
        <f t="shared" si="140"/>
        <v>14</v>
      </c>
      <c r="AD140" s="4">
        <f t="shared" si="140"/>
        <v>30</v>
      </c>
      <c r="AE140" s="4">
        <f t="shared" si="140"/>
        <v>5</v>
      </c>
      <c r="AF140" s="4">
        <f t="shared" si="140"/>
        <v>9</v>
      </c>
      <c r="AG140" s="4">
        <f t="shared" si="140"/>
        <v>0</v>
      </c>
      <c r="AH140" s="4">
        <f t="shared" si="140"/>
        <v>0</v>
      </c>
    </row>
    <row r="141">
      <c r="A141" s="7">
        <v>140.0</v>
      </c>
      <c r="B141" s="16">
        <v>44252.0</v>
      </c>
      <c r="C141" s="7" t="s">
        <v>51</v>
      </c>
      <c r="D141" s="7" t="s">
        <v>28</v>
      </c>
      <c r="E141" s="7" t="s">
        <v>50</v>
      </c>
      <c r="F141" s="7" t="s">
        <v>3</v>
      </c>
      <c r="G141" s="9">
        <f t="shared" si="2"/>
        <v>10</v>
      </c>
      <c r="H141" s="7" t="s">
        <v>29</v>
      </c>
      <c r="I141" s="7" t="s">
        <v>29</v>
      </c>
      <c r="J141" s="7" t="s">
        <v>29</v>
      </c>
      <c r="K141" s="7" t="s">
        <v>29</v>
      </c>
      <c r="L141" s="7" t="s">
        <v>29</v>
      </c>
      <c r="M141" s="7" t="s">
        <v>29</v>
      </c>
      <c r="N141" s="7" t="s">
        <v>28</v>
      </c>
      <c r="O141" s="7" t="s">
        <v>29</v>
      </c>
      <c r="P141" s="7" t="s">
        <v>29</v>
      </c>
      <c r="Q141" s="7" t="s">
        <v>29</v>
      </c>
      <c r="R141" s="7" t="s">
        <v>29</v>
      </c>
      <c r="S141" s="12"/>
      <c r="T141" s="13"/>
      <c r="V141" s="4">
        <f t="shared" ref="V141:AH141" si="141">COUNTIF($F$2:$F141,V$1)</f>
        <v>5</v>
      </c>
      <c r="W141" s="4">
        <f t="shared" si="141"/>
        <v>19</v>
      </c>
      <c r="X141" s="4">
        <f t="shared" si="141"/>
        <v>8</v>
      </c>
      <c r="Y141" s="4">
        <f t="shared" si="141"/>
        <v>12</v>
      </c>
      <c r="Z141" s="4">
        <f t="shared" si="141"/>
        <v>25</v>
      </c>
      <c r="AA141" s="4">
        <f t="shared" si="141"/>
        <v>5</v>
      </c>
      <c r="AB141" s="4">
        <f t="shared" si="141"/>
        <v>7</v>
      </c>
      <c r="AC141" s="4">
        <f t="shared" si="141"/>
        <v>14</v>
      </c>
      <c r="AD141" s="4">
        <f t="shared" si="141"/>
        <v>30</v>
      </c>
      <c r="AE141" s="4">
        <f t="shared" si="141"/>
        <v>5</v>
      </c>
      <c r="AF141" s="4">
        <f t="shared" si="141"/>
        <v>9</v>
      </c>
      <c r="AG141" s="4">
        <f t="shared" si="141"/>
        <v>0</v>
      </c>
      <c r="AH141" s="4">
        <f t="shared" si="141"/>
        <v>0</v>
      </c>
    </row>
    <row r="142">
      <c r="A142" s="7">
        <v>141.0</v>
      </c>
      <c r="B142" s="16">
        <v>44271.0</v>
      </c>
      <c r="C142" s="7" t="s">
        <v>51</v>
      </c>
      <c r="D142" s="7" t="s">
        <v>28</v>
      </c>
      <c r="E142" s="7" t="s">
        <v>50</v>
      </c>
      <c r="F142" s="7" t="s">
        <v>1</v>
      </c>
      <c r="G142" s="9">
        <f t="shared" si="2"/>
        <v>8</v>
      </c>
      <c r="H142" s="7" t="s">
        <v>29</v>
      </c>
      <c r="I142" s="7" t="s">
        <v>29</v>
      </c>
      <c r="J142" s="7" t="s">
        <v>29</v>
      </c>
      <c r="K142" s="7" t="s">
        <v>29</v>
      </c>
      <c r="L142" s="7" t="s">
        <v>29</v>
      </c>
      <c r="M142" s="7" t="s">
        <v>29</v>
      </c>
      <c r="N142" s="7" t="s">
        <v>28</v>
      </c>
      <c r="O142" s="7" t="s">
        <v>29</v>
      </c>
      <c r="P142" s="7" t="s">
        <v>28</v>
      </c>
      <c r="Q142" s="7" t="s">
        <v>29</v>
      </c>
      <c r="R142" s="7" t="s">
        <v>28</v>
      </c>
      <c r="S142" s="12"/>
      <c r="T142" s="13"/>
      <c r="V142" s="4">
        <f t="shared" ref="V142:AH142" si="142">COUNTIF($F$2:$F142,V$1)</f>
        <v>5</v>
      </c>
      <c r="W142" s="4">
        <f t="shared" si="142"/>
        <v>20</v>
      </c>
      <c r="X142" s="4">
        <f t="shared" si="142"/>
        <v>8</v>
      </c>
      <c r="Y142" s="4">
        <f t="shared" si="142"/>
        <v>12</v>
      </c>
      <c r="Z142" s="4">
        <f t="shared" si="142"/>
        <v>25</v>
      </c>
      <c r="AA142" s="4">
        <f t="shared" si="142"/>
        <v>5</v>
      </c>
      <c r="AB142" s="4">
        <f t="shared" si="142"/>
        <v>7</v>
      </c>
      <c r="AC142" s="4">
        <f t="shared" si="142"/>
        <v>14</v>
      </c>
      <c r="AD142" s="4">
        <f t="shared" si="142"/>
        <v>30</v>
      </c>
      <c r="AE142" s="4">
        <f t="shared" si="142"/>
        <v>5</v>
      </c>
      <c r="AF142" s="4">
        <f t="shared" si="142"/>
        <v>9</v>
      </c>
      <c r="AG142" s="4">
        <f t="shared" si="142"/>
        <v>0</v>
      </c>
      <c r="AH142" s="4">
        <f t="shared" si="142"/>
        <v>0</v>
      </c>
    </row>
    <row r="143">
      <c r="A143" s="7">
        <v>142.0</v>
      </c>
      <c r="B143" s="16">
        <v>44308.0</v>
      </c>
      <c r="C143" s="7" t="s">
        <v>51</v>
      </c>
      <c r="D143" s="7" t="s">
        <v>28</v>
      </c>
      <c r="E143" s="7" t="s">
        <v>50</v>
      </c>
      <c r="F143" s="7" t="s">
        <v>3</v>
      </c>
      <c r="G143" s="9">
        <f t="shared" si="2"/>
        <v>8</v>
      </c>
      <c r="H143" s="7" t="s">
        <v>28</v>
      </c>
      <c r="I143" s="7" t="s">
        <v>29</v>
      </c>
      <c r="J143" s="7" t="s">
        <v>29</v>
      </c>
      <c r="K143" s="7" t="s">
        <v>29</v>
      </c>
      <c r="L143" s="7" t="s">
        <v>29</v>
      </c>
      <c r="M143" s="7" t="s">
        <v>29</v>
      </c>
      <c r="N143" s="7" t="s">
        <v>28</v>
      </c>
      <c r="O143" s="7" t="s">
        <v>29</v>
      </c>
      <c r="P143" s="7" t="s">
        <v>29</v>
      </c>
      <c r="Q143" s="7" t="s">
        <v>28</v>
      </c>
      <c r="R143" s="7" t="s">
        <v>29</v>
      </c>
      <c r="S143" s="12"/>
      <c r="T143" s="13"/>
      <c r="V143" s="4">
        <f t="shared" ref="V143:AH143" si="143">COUNTIF($F$2:$F143,V$1)</f>
        <v>5</v>
      </c>
      <c r="W143" s="4">
        <f t="shared" si="143"/>
        <v>20</v>
      </c>
      <c r="X143" s="4">
        <f t="shared" si="143"/>
        <v>8</v>
      </c>
      <c r="Y143" s="4">
        <f t="shared" si="143"/>
        <v>13</v>
      </c>
      <c r="Z143" s="4">
        <f t="shared" si="143"/>
        <v>25</v>
      </c>
      <c r="AA143" s="4">
        <f t="shared" si="143"/>
        <v>5</v>
      </c>
      <c r="AB143" s="4">
        <f t="shared" si="143"/>
        <v>7</v>
      </c>
      <c r="AC143" s="4">
        <f t="shared" si="143"/>
        <v>14</v>
      </c>
      <c r="AD143" s="4">
        <f t="shared" si="143"/>
        <v>30</v>
      </c>
      <c r="AE143" s="4">
        <f t="shared" si="143"/>
        <v>5</v>
      </c>
      <c r="AF143" s="4">
        <f t="shared" si="143"/>
        <v>9</v>
      </c>
      <c r="AG143" s="4">
        <f t="shared" si="143"/>
        <v>0</v>
      </c>
      <c r="AH143" s="4">
        <f t="shared" si="143"/>
        <v>0</v>
      </c>
    </row>
    <row r="144">
      <c r="A144" s="7">
        <v>143.0</v>
      </c>
      <c r="B144" s="16">
        <v>44340.0</v>
      </c>
      <c r="C144" s="7" t="s">
        <v>51</v>
      </c>
      <c r="D144" s="7" t="s">
        <v>28</v>
      </c>
      <c r="E144" s="7" t="s">
        <v>50</v>
      </c>
      <c r="F144" s="7" t="s">
        <v>7</v>
      </c>
      <c r="G144" s="9">
        <f t="shared" si="2"/>
        <v>9</v>
      </c>
      <c r="H144" s="7" t="s">
        <v>29</v>
      </c>
      <c r="I144" s="7" t="s">
        <v>29</v>
      </c>
      <c r="J144" s="7" t="s">
        <v>29</v>
      </c>
      <c r="K144" s="7" t="s">
        <v>28</v>
      </c>
      <c r="L144" s="7" t="s">
        <v>29</v>
      </c>
      <c r="M144" s="7" t="s">
        <v>29</v>
      </c>
      <c r="N144" s="7" t="s">
        <v>28</v>
      </c>
      <c r="O144" s="7" t="s">
        <v>29</v>
      </c>
      <c r="P144" s="7" t="s">
        <v>29</v>
      </c>
      <c r="Q144" s="7" t="s">
        <v>29</v>
      </c>
      <c r="R144" s="7" t="s">
        <v>29</v>
      </c>
      <c r="S144" s="12"/>
      <c r="T144" s="13"/>
      <c r="V144" s="4">
        <f t="shared" ref="V144:AH144" si="144">COUNTIF($F$2:$F144,V$1)</f>
        <v>5</v>
      </c>
      <c r="W144" s="4">
        <f t="shared" si="144"/>
        <v>20</v>
      </c>
      <c r="X144" s="4">
        <f t="shared" si="144"/>
        <v>8</v>
      </c>
      <c r="Y144" s="4">
        <f t="shared" si="144"/>
        <v>13</v>
      </c>
      <c r="Z144" s="4">
        <f t="shared" si="144"/>
        <v>25</v>
      </c>
      <c r="AA144" s="4">
        <f t="shared" si="144"/>
        <v>5</v>
      </c>
      <c r="AB144" s="4">
        <f t="shared" si="144"/>
        <v>7</v>
      </c>
      <c r="AC144" s="4">
        <f t="shared" si="144"/>
        <v>15</v>
      </c>
      <c r="AD144" s="4">
        <f t="shared" si="144"/>
        <v>30</v>
      </c>
      <c r="AE144" s="4">
        <f t="shared" si="144"/>
        <v>5</v>
      </c>
      <c r="AF144" s="4">
        <f t="shared" si="144"/>
        <v>9</v>
      </c>
      <c r="AG144" s="4">
        <f t="shared" si="144"/>
        <v>0</v>
      </c>
      <c r="AH144" s="4">
        <f t="shared" si="144"/>
        <v>0</v>
      </c>
    </row>
    <row r="145">
      <c r="A145" s="7">
        <v>144.0</v>
      </c>
      <c r="B145" s="16">
        <v>44376.0</v>
      </c>
      <c r="C145" s="7" t="s">
        <v>51</v>
      </c>
      <c r="D145" s="7" t="s">
        <v>28</v>
      </c>
      <c r="E145" s="7" t="s">
        <v>4</v>
      </c>
      <c r="F145" s="7" t="s">
        <v>7</v>
      </c>
      <c r="G145" s="9">
        <f t="shared" si="2"/>
        <v>6</v>
      </c>
      <c r="H145" s="7" t="s">
        <v>28</v>
      </c>
      <c r="I145" s="7" t="s">
        <v>29</v>
      </c>
      <c r="J145" s="7" t="s">
        <v>29</v>
      </c>
      <c r="K145" s="7" t="s">
        <v>28</v>
      </c>
      <c r="L145" s="7" t="s">
        <v>29</v>
      </c>
      <c r="M145" s="7" t="s">
        <v>29</v>
      </c>
      <c r="N145" s="7" t="s">
        <v>28</v>
      </c>
      <c r="O145" s="7" t="s">
        <v>29</v>
      </c>
      <c r="P145" s="7" t="s">
        <v>29</v>
      </c>
      <c r="Q145" s="7" t="s">
        <v>28</v>
      </c>
      <c r="R145" s="7" t="s">
        <v>28</v>
      </c>
      <c r="S145" s="12"/>
      <c r="T145" s="13"/>
      <c r="V145" s="4">
        <f t="shared" ref="V145:AH145" si="145">COUNTIF($F$2:$F145,V$1)</f>
        <v>5</v>
      </c>
      <c r="W145" s="4">
        <f t="shared" si="145"/>
        <v>20</v>
      </c>
      <c r="X145" s="4">
        <f t="shared" si="145"/>
        <v>8</v>
      </c>
      <c r="Y145" s="4">
        <f t="shared" si="145"/>
        <v>13</v>
      </c>
      <c r="Z145" s="4">
        <f t="shared" si="145"/>
        <v>25</v>
      </c>
      <c r="AA145" s="4">
        <f t="shared" si="145"/>
        <v>5</v>
      </c>
      <c r="AB145" s="4">
        <f t="shared" si="145"/>
        <v>7</v>
      </c>
      <c r="AC145" s="4">
        <f t="shared" si="145"/>
        <v>16</v>
      </c>
      <c r="AD145" s="4">
        <f t="shared" si="145"/>
        <v>30</v>
      </c>
      <c r="AE145" s="4">
        <f t="shared" si="145"/>
        <v>5</v>
      </c>
      <c r="AF145" s="4">
        <f t="shared" si="145"/>
        <v>9</v>
      </c>
      <c r="AG145" s="4">
        <f t="shared" si="145"/>
        <v>0</v>
      </c>
      <c r="AH145" s="4">
        <f t="shared" si="145"/>
        <v>0</v>
      </c>
    </row>
    <row r="146">
      <c r="A146" s="7">
        <v>145.0</v>
      </c>
      <c r="B146" s="16">
        <v>44411.0</v>
      </c>
      <c r="C146" s="7" t="s">
        <v>51</v>
      </c>
      <c r="D146" s="7" t="s">
        <v>28</v>
      </c>
      <c r="E146" s="7" t="s">
        <v>50</v>
      </c>
      <c r="F146" s="7" t="s">
        <v>2</v>
      </c>
      <c r="G146" s="9">
        <f t="shared" si="2"/>
        <v>8</v>
      </c>
      <c r="H146" s="7" t="s">
        <v>28</v>
      </c>
      <c r="I146" s="7" t="s">
        <v>29</v>
      </c>
      <c r="J146" s="7" t="s">
        <v>29</v>
      </c>
      <c r="K146" s="7" t="s">
        <v>29</v>
      </c>
      <c r="L146" s="7" t="s">
        <v>29</v>
      </c>
      <c r="M146" s="7" t="s">
        <v>29</v>
      </c>
      <c r="N146" s="7" t="s">
        <v>28</v>
      </c>
      <c r="O146" s="7" t="s">
        <v>29</v>
      </c>
      <c r="P146" s="7" t="s">
        <v>29</v>
      </c>
      <c r="Q146" s="7" t="s">
        <v>29</v>
      </c>
      <c r="R146" s="7" t="s">
        <v>28</v>
      </c>
      <c r="S146" s="12"/>
      <c r="T146" s="13"/>
      <c r="V146" s="4">
        <f t="shared" ref="V146:AH146" si="146">COUNTIF($F$2:$F146,V$1)</f>
        <v>5</v>
      </c>
      <c r="W146" s="4">
        <f t="shared" si="146"/>
        <v>20</v>
      </c>
      <c r="X146" s="4">
        <f t="shared" si="146"/>
        <v>9</v>
      </c>
      <c r="Y146" s="4">
        <f t="shared" si="146"/>
        <v>13</v>
      </c>
      <c r="Z146" s="4">
        <f t="shared" si="146"/>
        <v>25</v>
      </c>
      <c r="AA146" s="4">
        <f t="shared" si="146"/>
        <v>5</v>
      </c>
      <c r="AB146" s="4">
        <f t="shared" si="146"/>
        <v>7</v>
      </c>
      <c r="AC146" s="4">
        <f t="shared" si="146"/>
        <v>16</v>
      </c>
      <c r="AD146" s="4">
        <f t="shared" si="146"/>
        <v>30</v>
      </c>
      <c r="AE146" s="4">
        <f t="shared" si="146"/>
        <v>5</v>
      </c>
      <c r="AF146" s="4">
        <f t="shared" si="146"/>
        <v>9</v>
      </c>
      <c r="AG146" s="4">
        <f t="shared" si="146"/>
        <v>0</v>
      </c>
      <c r="AH146" s="4">
        <f t="shared" si="146"/>
        <v>0</v>
      </c>
    </row>
    <row r="147">
      <c r="A147" s="7">
        <v>146.0</v>
      </c>
      <c r="B147" s="16">
        <v>44497.0</v>
      </c>
      <c r="C147" s="7" t="s">
        <v>51</v>
      </c>
      <c r="D147" s="7" t="s">
        <v>28</v>
      </c>
      <c r="E147" s="7" t="s">
        <v>4</v>
      </c>
      <c r="F147" s="7" t="s">
        <v>1</v>
      </c>
      <c r="G147" s="9">
        <f t="shared" si="2"/>
        <v>8</v>
      </c>
      <c r="H147" s="7" t="s">
        <v>28</v>
      </c>
      <c r="I147" s="7" t="s">
        <v>29</v>
      </c>
      <c r="J147" s="7" t="s">
        <v>29</v>
      </c>
      <c r="K147" s="7" t="s">
        <v>29</v>
      </c>
      <c r="L147" s="7" t="s">
        <v>29</v>
      </c>
      <c r="M147" s="7" t="s">
        <v>29</v>
      </c>
      <c r="N147" s="7" t="s">
        <v>28</v>
      </c>
      <c r="O147" s="7" t="s">
        <v>29</v>
      </c>
      <c r="P147" s="7" t="s">
        <v>29</v>
      </c>
      <c r="Q147" s="7" t="s">
        <v>28</v>
      </c>
      <c r="R147" s="7" t="s">
        <v>29</v>
      </c>
      <c r="S147" s="12"/>
      <c r="T147" s="13"/>
      <c r="V147" s="4">
        <f t="shared" ref="V147:AH147" si="147">COUNTIF($F$2:$F147,V$1)</f>
        <v>5</v>
      </c>
      <c r="W147" s="4">
        <f t="shared" si="147"/>
        <v>21</v>
      </c>
      <c r="X147" s="4">
        <f t="shared" si="147"/>
        <v>9</v>
      </c>
      <c r="Y147" s="4">
        <f t="shared" si="147"/>
        <v>13</v>
      </c>
      <c r="Z147" s="4">
        <f t="shared" si="147"/>
        <v>25</v>
      </c>
      <c r="AA147" s="4">
        <f t="shared" si="147"/>
        <v>5</v>
      </c>
      <c r="AB147" s="4">
        <f t="shared" si="147"/>
        <v>7</v>
      </c>
      <c r="AC147" s="4">
        <f t="shared" si="147"/>
        <v>16</v>
      </c>
      <c r="AD147" s="4">
        <f t="shared" si="147"/>
        <v>30</v>
      </c>
      <c r="AE147" s="4">
        <f t="shared" si="147"/>
        <v>5</v>
      </c>
      <c r="AF147" s="4">
        <f t="shared" si="147"/>
        <v>9</v>
      </c>
      <c r="AG147" s="4">
        <f t="shared" si="147"/>
        <v>0</v>
      </c>
      <c r="AH147" s="4">
        <f t="shared" si="147"/>
        <v>0</v>
      </c>
    </row>
    <row r="148">
      <c r="A148" s="7">
        <v>147.0</v>
      </c>
      <c r="B148" s="16">
        <v>44512.0</v>
      </c>
      <c r="C148" s="7" t="s">
        <v>51</v>
      </c>
      <c r="D148" s="7" t="s">
        <v>28</v>
      </c>
      <c r="E148" s="17" t="s">
        <v>5</v>
      </c>
      <c r="F148" s="7" t="s">
        <v>7</v>
      </c>
      <c r="G148" s="9">
        <f t="shared" si="2"/>
        <v>7</v>
      </c>
      <c r="H148" s="7" t="s">
        <v>29</v>
      </c>
      <c r="I148" s="7" t="s">
        <v>29</v>
      </c>
      <c r="J148" s="7" t="s">
        <v>29</v>
      </c>
      <c r="K148" s="7" t="s">
        <v>28</v>
      </c>
      <c r="L148" s="7" t="s">
        <v>29</v>
      </c>
      <c r="M148" s="7" t="s">
        <v>29</v>
      </c>
      <c r="N148" s="7" t="s">
        <v>28</v>
      </c>
      <c r="O148" s="7" t="s">
        <v>29</v>
      </c>
      <c r="P148" s="7" t="s">
        <v>28</v>
      </c>
      <c r="Q148" s="7" t="s">
        <v>28</v>
      </c>
      <c r="R148" s="7" t="s">
        <v>29</v>
      </c>
      <c r="S148" s="12"/>
      <c r="T148" s="13"/>
      <c r="V148" s="4">
        <f t="shared" ref="V148:AH148" si="148">COUNTIF($F$2:$F148,V$1)</f>
        <v>5</v>
      </c>
      <c r="W148" s="4">
        <f t="shared" si="148"/>
        <v>21</v>
      </c>
      <c r="X148" s="4">
        <f t="shared" si="148"/>
        <v>9</v>
      </c>
      <c r="Y148" s="4">
        <f t="shared" si="148"/>
        <v>13</v>
      </c>
      <c r="Z148" s="4">
        <f t="shared" si="148"/>
        <v>25</v>
      </c>
      <c r="AA148" s="4">
        <f t="shared" si="148"/>
        <v>5</v>
      </c>
      <c r="AB148" s="4">
        <f t="shared" si="148"/>
        <v>7</v>
      </c>
      <c r="AC148" s="4">
        <f t="shared" si="148"/>
        <v>17</v>
      </c>
      <c r="AD148" s="4">
        <f t="shared" si="148"/>
        <v>30</v>
      </c>
      <c r="AE148" s="4">
        <f t="shared" si="148"/>
        <v>5</v>
      </c>
      <c r="AF148" s="4">
        <f t="shared" si="148"/>
        <v>9</v>
      </c>
      <c r="AG148" s="4">
        <f t="shared" si="148"/>
        <v>0</v>
      </c>
      <c r="AH148" s="4">
        <f t="shared" si="148"/>
        <v>0</v>
      </c>
    </row>
    <row r="149">
      <c r="A149" s="7">
        <v>148.0</v>
      </c>
      <c r="B149" s="16">
        <v>44609.0</v>
      </c>
      <c r="C149" s="7">
        <v>2022.0</v>
      </c>
      <c r="D149" s="7" t="s">
        <v>28</v>
      </c>
      <c r="E149" s="7" t="s">
        <v>8</v>
      </c>
      <c r="F149" s="7" t="s">
        <v>7</v>
      </c>
      <c r="G149" s="9">
        <f t="shared" si="2"/>
        <v>8</v>
      </c>
      <c r="H149" s="7" t="s">
        <v>29</v>
      </c>
      <c r="I149" s="7" t="s">
        <v>29</v>
      </c>
      <c r="J149" s="7" t="s">
        <v>28</v>
      </c>
      <c r="K149" s="7" t="s">
        <v>29</v>
      </c>
      <c r="L149" s="7" t="s">
        <v>29</v>
      </c>
      <c r="M149" s="7" t="s">
        <v>29</v>
      </c>
      <c r="N149" s="7" t="s">
        <v>28</v>
      </c>
      <c r="O149" s="7" t="s">
        <v>29</v>
      </c>
      <c r="P149" s="7" t="s">
        <v>29</v>
      </c>
      <c r="Q149" s="7" t="s">
        <v>29</v>
      </c>
      <c r="R149" s="7" t="s">
        <v>28</v>
      </c>
      <c r="S149" s="12"/>
      <c r="T149" s="13"/>
      <c r="V149" s="4">
        <f t="shared" ref="V149:AH149" si="149">COUNTIF($F$2:$F149,V$1)</f>
        <v>5</v>
      </c>
      <c r="W149" s="4">
        <f t="shared" si="149"/>
        <v>21</v>
      </c>
      <c r="X149" s="4">
        <f t="shared" si="149"/>
        <v>9</v>
      </c>
      <c r="Y149" s="4">
        <f t="shared" si="149"/>
        <v>13</v>
      </c>
      <c r="Z149" s="4">
        <f t="shared" si="149"/>
        <v>25</v>
      </c>
      <c r="AA149" s="4">
        <f t="shared" si="149"/>
        <v>5</v>
      </c>
      <c r="AB149" s="4">
        <f t="shared" si="149"/>
        <v>7</v>
      </c>
      <c r="AC149" s="4">
        <f t="shared" si="149"/>
        <v>18</v>
      </c>
      <c r="AD149" s="4">
        <f t="shared" si="149"/>
        <v>30</v>
      </c>
      <c r="AE149" s="4">
        <f t="shared" si="149"/>
        <v>5</v>
      </c>
      <c r="AF149" s="4">
        <f t="shared" si="149"/>
        <v>9</v>
      </c>
      <c r="AG149" s="4">
        <f t="shared" si="149"/>
        <v>0</v>
      </c>
      <c r="AH149" s="4">
        <f t="shared" si="149"/>
        <v>0</v>
      </c>
    </row>
    <row r="150">
      <c r="A150" s="7">
        <v>149.0</v>
      </c>
      <c r="B150" s="16">
        <v>44649.0</v>
      </c>
      <c r="C150" s="7">
        <v>2022.0</v>
      </c>
      <c r="D150" s="7" t="s">
        <v>28</v>
      </c>
      <c r="E150" s="7" t="s">
        <v>2</v>
      </c>
      <c r="F150" s="7" t="s">
        <v>4</v>
      </c>
      <c r="G150" s="9">
        <f t="shared" si="2"/>
        <v>9</v>
      </c>
      <c r="H150" s="7" t="s">
        <v>29</v>
      </c>
      <c r="I150" s="7" t="s">
        <v>29</v>
      </c>
      <c r="J150" s="7" t="s">
        <v>29</v>
      </c>
      <c r="K150" s="7" t="s">
        <v>28</v>
      </c>
      <c r="L150" s="7" t="s">
        <v>29</v>
      </c>
      <c r="M150" s="7" t="s">
        <v>29</v>
      </c>
      <c r="N150" s="7" t="s">
        <v>28</v>
      </c>
      <c r="O150" s="7" t="s">
        <v>29</v>
      </c>
      <c r="P150" s="7" t="s">
        <v>29</v>
      </c>
      <c r="Q150" s="7" t="s">
        <v>29</v>
      </c>
      <c r="R150" s="7" t="s">
        <v>29</v>
      </c>
      <c r="S150" s="12"/>
      <c r="T150" s="13"/>
      <c r="V150" s="4">
        <f t="shared" ref="V150:AH150" si="150">COUNTIF($F$2:$F150,V$1)</f>
        <v>5</v>
      </c>
      <c r="W150" s="4">
        <f t="shared" si="150"/>
        <v>21</v>
      </c>
      <c r="X150" s="4">
        <f t="shared" si="150"/>
        <v>9</v>
      </c>
      <c r="Y150" s="4">
        <f t="shared" si="150"/>
        <v>13</v>
      </c>
      <c r="Z150" s="4">
        <f t="shared" si="150"/>
        <v>26</v>
      </c>
      <c r="AA150" s="4">
        <f t="shared" si="150"/>
        <v>5</v>
      </c>
      <c r="AB150" s="4">
        <f t="shared" si="150"/>
        <v>7</v>
      </c>
      <c r="AC150" s="4">
        <f t="shared" si="150"/>
        <v>18</v>
      </c>
      <c r="AD150" s="4">
        <f t="shared" si="150"/>
        <v>30</v>
      </c>
      <c r="AE150" s="4">
        <f t="shared" si="150"/>
        <v>5</v>
      </c>
      <c r="AF150" s="4">
        <f t="shared" si="150"/>
        <v>9</v>
      </c>
      <c r="AG150" s="4">
        <f t="shared" si="150"/>
        <v>0</v>
      </c>
      <c r="AH150" s="4">
        <f t="shared" si="150"/>
        <v>0</v>
      </c>
    </row>
    <row r="151">
      <c r="A151" s="7">
        <v>150.0</v>
      </c>
      <c r="B151" s="16">
        <v>44678.0</v>
      </c>
      <c r="C151" s="7">
        <v>2022.0</v>
      </c>
      <c r="D151" s="7" t="s">
        <v>28</v>
      </c>
      <c r="E151" s="7" t="s">
        <v>10</v>
      </c>
      <c r="F151" s="7" t="s">
        <v>7</v>
      </c>
      <c r="G151" s="9">
        <f t="shared" si="2"/>
        <v>7</v>
      </c>
      <c r="H151" s="7" t="s">
        <v>29</v>
      </c>
      <c r="I151" s="7" t="s">
        <v>28</v>
      </c>
      <c r="J151" s="7" t="s">
        <v>29</v>
      </c>
      <c r="K151" s="7" t="s">
        <v>28</v>
      </c>
      <c r="L151" s="7" t="s">
        <v>29</v>
      </c>
      <c r="M151" s="7" t="s">
        <v>29</v>
      </c>
      <c r="N151" s="7" t="s">
        <v>28</v>
      </c>
      <c r="O151" s="7" t="s">
        <v>29</v>
      </c>
      <c r="P151" s="7" t="s">
        <v>29</v>
      </c>
      <c r="Q151" s="7" t="s">
        <v>28</v>
      </c>
      <c r="R151" s="7" t="s">
        <v>29</v>
      </c>
      <c r="S151" s="12"/>
      <c r="T151" s="13"/>
      <c r="V151" s="4">
        <f t="shared" ref="V151:AH151" si="151">COUNTIF($F$2:$F151,V$1)</f>
        <v>5</v>
      </c>
      <c r="W151" s="4">
        <f t="shared" si="151"/>
        <v>21</v>
      </c>
      <c r="X151" s="4">
        <f t="shared" si="151"/>
        <v>9</v>
      </c>
      <c r="Y151" s="4">
        <f t="shared" si="151"/>
        <v>13</v>
      </c>
      <c r="Z151" s="4">
        <f t="shared" si="151"/>
        <v>26</v>
      </c>
      <c r="AA151" s="4">
        <f t="shared" si="151"/>
        <v>5</v>
      </c>
      <c r="AB151" s="4">
        <f t="shared" si="151"/>
        <v>7</v>
      </c>
      <c r="AC151" s="4">
        <f t="shared" si="151"/>
        <v>19</v>
      </c>
      <c r="AD151" s="4">
        <f t="shared" si="151"/>
        <v>30</v>
      </c>
      <c r="AE151" s="4">
        <f t="shared" si="151"/>
        <v>5</v>
      </c>
      <c r="AF151" s="4">
        <f t="shared" si="151"/>
        <v>9</v>
      </c>
      <c r="AG151" s="4">
        <f t="shared" si="151"/>
        <v>0</v>
      </c>
      <c r="AH151" s="4">
        <f t="shared" si="151"/>
        <v>0</v>
      </c>
    </row>
    <row r="152">
      <c r="A152" s="7">
        <v>151.0</v>
      </c>
      <c r="B152" s="16">
        <v>44715.0</v>
      </c>
      <c r="C152" s="7">
        <v>2022.0</v>
      </c>
      <c r="D152" s="7" t="s">
        <v>28</v>
      </c>
      <c r="E152" s="7" t="s">
        <v>1</v>
      </c>
      <c r="F152" s="7" t="s">
        <v>8</v>
      </c>
      <c r="G152" s="9">
        <f t="shared" si="2"/>
        <v>8</v>
      </c>
      <c r="H152" s="7" t="s">
        <v>28</v>
      </c>
      <c r="I152" s="7" t="s">
        <v>29</v>
      </c>
      <c r="J152" s="7" t="s">
        <v>29</v>
      </c>
      <c r="K152" s="7" t="s">
        <v>28</v>
      </c>
      <c r="L152" s="7" t="s">
        <v>29</v>
      </c>
      <c r="M152" s="7" t="s">
        <v>29</v>
      </c>
      <c r="N152" s="7" t="s">
        <v>28</v>
      </c>
      <c r="O152" s="7" t="s">
        <v>29</v>
      </c>
      <c r="P152" s="7" t="s">
        <v>29</v>
      </c>
      <c r="Q152" s="7" t="s">
        <v>29</v>
      </c>
      <c r="R152" s="7" t="s">
        <v>29</v>
      </c>
      <c r="S152" s="12"/>
      <c r="T152" s="13"/>
      <c r="V152" s="4">
        <f t="shared" ref="V152:AH152" si="152">COUNTIF($F$2:$F152,V$1)</f>
        <v>5</v>
      </c>
      <c r="W152" s="4">
        <f t="shared" si="152"/>
        <v>21</v>
      </c>
      <c r="X152" s="4">
        <f t="shared" si="152"/>
        <v>9</v>
      </c>
      <c r="Y152" s="4">
        <f t="shared" si="152"/>
        <v>13</v>
      </c>
      <c r="Z152" s="4">
        <f t="shared" si="152"/>
        <v>26</v>
      </c>
      <c r="AA152" s="4">
        <f t="shared" si="152"/>
        <v>5</v>
      </c>
      <c r="AB152" s="4">
        <f t="shared" si="152"/>
        <v>7</v>
      </c>
      <c r="AC152" s="4">
        <f t="shared" si="152"/>
        <v>19</v>
      </c>
      <c r="AD152" s="4">
        <f t="shared" si="152"/>
        <v>31</v>
      </c>
      <c r="AE152" s="4">
        <f t="shared" si="152"/>
        <v>5</v>
      </c>
      <c r="AF152" s="4">
        <f t="shared" si="152"/>
        <v>9</v>
      </c>
      <c r="AG152" s="4">
        <f t="shared" si="152"/>
        <v>0</v>
      </c>
      <c r="AH152" s="4">
        <f t="shared" si="152"/>
        <v>0</v>
      </c>
    </row>
    <row r="153">
      <c r="A153" s="7">
        <v>152.0</v>
      </c>
      <c r="B153" s="16">
        <v>44741.0</v>
      </c>
      <c r="C153" s="7">
        <v>2022.0</v>
      </c>
      <c r="D153" s="7" t="s">
        <v>28</v>
      </c>
      <c r="E153" s="7" t="s">
        <v>50</v>
      </c>
      <c r="F153" s="7" t="s">
        <v>2</v>
      </c>
      <c r="G153" s="9">
        <f t="shared" si="2"/>
        <v>6</v>
      </c>
      <c r="H153" s="7" t="s">
        <v>28</v>
      </c>
      <c r="I153" s="7" t="s">
        <v>28</v>
      </c>
      <c r="J153" s="7" t="s">
        <v>29</v>
      </c>
      <c r="K153" s="7" t="s">
        <v>29</v>
      </c>
      <c r="L153" s="7" t="s">
        <v>29</v>
      </c>
      <c r="M153" s="7" t="s">
        <v>28</v>
      </c>
      <c r="N153" s="7" t="s">
        <v>28</v>
      </c>
      <c r="O153" s="7" t="s">
        <v>29</v>
      </c>
      <c r="P153" s="7" t="s">
        <v>29</v>
      </c>
      <c r="Q153" s="7" t="s">
        <v>29</v>
      </c>
      <c r="R153" s="7" t="s">
        <v>28</v>
      </c>
      <c r="S153" s="12"/>
      <c r="T153" s="13"/>
      <c r="V153" s="4">
        <f t="shared" ref="V153:AH153" si="153">COUNTIF($F$2:$F153,V$1)</f>
        <v>5</v>
      </c>
      <c r="W153" s="4">
        <f t="shared" si="153"/>
        <v>21</v>
      </c>
      <c r="X153" s="4">
        <f t="shared" si="153"/>
        <v>10</v>
      </c>
      <c r="Y153" s="4">
        <f t="shared" si="153"/>
        <v>13</v>
      </c>
      <c r="Z153" s="4">
        <f t="shared" si="153"/>
        <v>26</v>
      </c>
      <c r="AA153" s="4">
        <f t="shared" si="153"/>
        <v>5</v>
      </c>
      <c r="AB153" s="4">
        <f t="shared" si="153"/>
        <v>7</v>
      </c>
      <c r="AC153" s="4">
        <f t="shared" si="153"/>
        <v>19</v>
      </c>
      <c r="AD153" s="4">
        <f t="shared" si="153"/>
        <v>31</v>
      </c>
      <c r="AE153" s="4">
        <f t="shared" si="153"/>
        <v>5</v>
      </c>
      <c r="AF153" s="4">
        <f t="shared" si="153"/>
        <v>9</v>
      </c>
      <c r="AG153" s="4">
        <f t="shared" si="153"/>
        <v>0</v>
      </c>
      <c r="AH153" s="4">
        <f t="shared" si="153"/>
        <v>0</v>
      </c>
    </row>
    <row r="154">
      <c r="A154" s="7">
        <v>153.0</v>
      </c>
      <c r="B154" s="16">
        <v>44762.0</v>
      </c>
      <c r="C154" s="7">
        <v>2022.0</v>
      </c>
      <c r="D154" s="7" t="s">
        <v>28</v>
      </c>
      <c r="E154" s="7" t="s">
        <v>9</v>
      </c>
      <c r="F154" s="7" t="s">
        <v>7</v>
      </c>
      <c r="G154" s="9">
        <f t="shared" si="2"/>
        <v>6</v>
      </c>
      <c r="H154" s="7" t="s">
        <v>28</v>
      </c>
      <c r="I154" s="7" t="s">
        <v>29</v>
      </c>
      <c r="J154" s="7" t="s">
        <v>29</v>
      </c>
      <c r="K154" s="7" t="s">
        <v>28</v>
      </c>
      <c r="L154" s="7" t="s">
        <v>29</v>
      </c>
      <c r="M154" s="7" t="s">
        <v>28</v>
      </c>
      <c r="N154" s="7" t="s">
        <v>28</v>
      </c>
      <c r="O154" s="7" t="s">
        <v>29</v>
      </c>
      <c r="P154" s="7" t="s">
        <v>29</v>
      </c>
      <c r="Q154" s="7" t="s">
        <v>29</v>
      </c>
      <c r="R154" s="7" t="s">
        <v>28</v>
      </c>
      <c r="S154" s="12"/>
      <c r="T154" s="13"/>
      <c r="V154" s="4">
        <f t="shared" ref="V154:AH154" si="154">COUNTIF($F$2:$F154,V$1)</f>
        <v>5</v>
      </c>
      <c r="W154" s="4">
        <f t="shared" si="154"/>
        <v>21</v>
      </c>
      <c r="X154" s="4">
        <f t="shared" si="154"/>
        <v>10</v>
      </c>
      <c r="Y154" s="4">
        <f t="shared" si="154"/>
        <v>13</v>
      </c>
      <c r="Z154" s="4">
        <f t="shared" si="154"/>
        <v>26</v>
      </c>
      <c r="AA154" s="4">
        <f t="shared" si="154"/>
        <v>5</v>
      </c>
      <c r="AB154" s="4">
        <f t="shared" si="154"/>
        <v>7</v>
      </c>
      <c r="AC154" s="4">
        <f t="shared" si="154"/>
        <v>20</v>
      </c>
      <c r="AD154" s="4">
        <f t="shared" si="154"/>
        <v>31</v>
      </c>
      <c r="AE154" s="4">
        <f t="shared" si="154"/>
        <v>5</v>
      </c>
      <c r="AF154" s="4">
        <f t="shared" si="154"/>
        <v>9</v>
      </c>
      <c r="AG154" s="4">
        <f t="shared" si="154"/>
        <v>0</v>
      </c>
      <c r="AH154" s="4">
        <f t="shared" si="154"/>
        <v>0</v>
      </c>
    </row>
    <row r="155">
      <c r="A155" s="7">
        <v>154.0</v>
      </c>
      <c r="B155" s="16">
        <v>44803.0</v>
      </c>
      <c r="C155" s="7">
        <v>2022.0</v>
      </c>
      <c r="D155" s="7" t="s">
        <v>28</v>
      </c>
      <c r="E155" s="7" t="s">
        <v>7</v>
      </c>
      <c r="F155" s="7" t="s">
        <v>1</v>
      </c>
      <c r="G155" s="9">
        <f t="shared" si="2"/>
        <v>10</v>
      </c>
      <c r="H155" s="7" t="s">
        <v>29</v>
      </c>
      <c r="I155" s="7" t="s">
        <v>29</v>
      </c>
      <c r="J155" s="7" t="s">
        <v>29</v>
      </c>
      <c r="K155" s="7" t="s">
        <v>29</v>
      </c>
      <c r="L155" s="7" t="s">
        <v>29</v>
      </c>
      <c r="M155" s="7" t="s">
        <v>29</v>
      </c>
      <c r="N155" s="7" t="s">
        <v>28</v>
      </c>
      <c r="O155" s="7" t="s">
        <v>29</v>
      </c>
      <c r="P155" s="7" t="s">
        <v>29</v>
      </c>
      <c r="Q155" s="7" t="s">
        <v>29</v>
      </c>
      <c r="R155" s="7" t="s">
        <v>29</v>
      </c>
      <c r="S155" s="12"/>
      <c r="T155" s="13"/>
      <c r="V155" s="4">
        <f t="shared" ref="V155:AH155" si="155">COUNTIF($F$2:$F155,V$1)</f>
        <v>5</v>
      </c>
      <c r="W155" s="4">
        <f t="shared" si="155"/>
        <v>22</v>
      </c>
      <c r="X155" s="4">
        <f t="shared" si="155"/>
        <v>10</v>
      </c>
      <c r="Y155" s="4">
        <f t="shared" si="155"/>
        <v>13</v>
      </c>
      <c r="Z155" s="4">
        <f t="shared" si="155"/>
        <v>26</v>
      </c>
      <c r="AA155" s="4">
        <f t="shared" si="155"/>
        <v>5</v>
      </c>
      <c r="AB155" s="4">
        <f t="shared" si="155"/>
        <v>7</v>
      </c>
      <c r="AC155" s="4">
        <f t="shared" si="155"/>
        <v>20</v>
      </c>
      <c r="AD155" s="4">
        <f t="shared" si="155"/>
        <v>31</v>
      </c>
      <c r="AE155" s="4">
        <f t="shared" si="155"/>
        <v>5</v>
      </c>
      <c r="AF155" s="4">
        <f t="shared" si="155"/>
        <v>9</v>
      </c>
      <c r="AG155" s="4">
        <f t="shared" si="155"/>
        <v>0</v>
      </c>
      <c r="AH155" s="4">
        <f t="shared" si="155"/>
        <v>0</v>
      </c>
    </row>
    <row r="156">
      <c r="A156" s="7">
        <v>155.0</v>
      </c>
      <c r="B156" s="16">
        <v>44826.0</v>
      </c>
      <c r="C156" s="7">
        <v>2022.0</v>
      </c>
      <c r="D156" s="7" t="s">
        <v>28</v>
      </c>
      <c r="E156" s="7" t="s">
        <v>0</v>
      </c>
      <c r="F156" s="7" t="s">
        <v>4</v>
      </c>
      <c r="G156" s="9">
        <f t="shared" si="2"/>
        <v>5</v>
      </c>
      <c r="H156" s="7" t="s">
        <v>29</v>
      </c>
      <c r="I156" s="7" t="s">
        <v>29</v>
      </c>
      <c r="J156" s="7" t="s">
        <v>28</v>
      </c>
      <c r="K156" s="7" t="s">
        <v>28</v>
      </c>
      <c r="L156" s="7" t="s">
        <v>29</v>
      </c>
      <c r="M156" s="7" t="s">
        <v>29</v>
      </c>
      <c r="N156" s="7" t="s">
        <v>28</v>
      </c>
      <c r="O156" s="7" t="s">
        <v>29</v>
      </c>
      <c r="P156" s="7" t="s">
        <v>28</v>
      </c>
      <c r="Q156" s="7" t="s">
        <v>28</v>
      </c>
      <c r="R156" s="7" t="s">
        <v>28</v>
      </c>
      <c r="S156" s="12"/>
      <c r="T156" s="13"/>
      <c r="V156" s="4">
        <f t="shared" ref="V156:AH156" si="156">COUNTIF($F$2:$F156,V$1)</f>
        <v>5</v>
      </c>
      <c r="W156" s="4">
        <f t="shared" si="156"/>
        <v>22</v>
      </c>
      <c r="X156" s="4">
        <f t="shared" si="156"/>
        <v>10</v>
      </c>
      <c r="Y156" s="4">
        <f t="shared" si="156"/>
        <v>13</v>
      </c>
      <c r="Z156" s="4">
        <f t="shared" si="156"/>
        <v>27</v>
      </c>
      <c r="AA156" s="4">
        <f t="shared" si="156"/>
        <v>5</v>
      </c>
      <c r="AB156" s="4">
        <f t="shared" si="156"/>
        <v>7</v>
      </c>
      <c r="AC156" s="4">
        <f t="shared" si="156"/>
        <v>20</v>
      </c>
      <c r="AD156" s="4">
        <f t="shared" si="156"/>
        <v>31</v>
      </c>
      <c r="AE156" s="4">
        <f t="shared" si="156"/>
        <v>5</v>
      </c>
      <c r="AF156" s="4">
        <f t="shared" si="156"/>
        <v>9</v>
      </c>
      <c r="AG156" s="4">
        <f t="shared" si="156"/>
        <v>0</v>
      </c>
      <c r="AH156" s="4">
        <f t="shared" si="156"/>
        <v>0</v>
      </c>
    </row>
    <row r="157">
      <c r="A157" s="7">
        <v>156.0</v>
      </c>
      <c r="B157" s="16">
        <v>44845.0</v>
      </c>
      <c r="C157" s="7">
        <v>2022.0</v>
      </c>
      <c r="D157" s="7" t="s">
        <v>28</v>
      </c>
      <c r="E157" s="7" t="s">
        <v>3</v>
      </c>
      <c r="F157" s="7" t="s">
        <v>7</v>
      </c>
      <c r="G157" s="9">
        <f t="shared" si="2"/>
        <v>8</v>
      </c>
      <c r="H157" s="20" t="s">
        <v>29</v>
      </c>
      <c r="I157" s="20" t="s">
        <v>29</v>
      </c>
      <c r="J157" s="20" t="s">
        <v>28</v>
      </c>
      <c r="K157" s="20" t="s">
        <v>29</v>
      </c>
      <c r="L157" s="20" t="s">
        <v>29</v>
      </c>
      <c r="M157" s="20" t="s">
        <v>29</v>
      </c>
      <c r="N157" s="20" t="s">
        <v>28</v>
      </c>
      <c r="O157" s="20" t="s">
        <v>29</v>
      </c>
      <c r="P157" s="20" t="s">
        <v>29</v>
      </c>
      <c r="Q157" s="20" t="s">
        <v>28</v>
      </c>
      <c r="R157" s="20" t="s">
        <v>29</v>
      </c>
      <c r="S157" s="12"/>
      <c r="T157" s="13"/>
      <c r="V157" s="4">
        <f t="shared" ref="V157:AH157" si="157">COUNTIF($F$2:$F157,V$1)</f>
        <v>5</v>
      </c>
      <c r="W157" s="4">
        <f t="shared" si="157"/>
        <v>22</v>
      </c>
      <c r="X157" s="4">
        <f t="shared" si="157"/>
        <v>10</v>
      </c>
      <c r="Y157" s="4">
        <f t="shared" si="157"/>
        <v>13</v>
      </c>
      <c r="Z157" s="4">
        <f t="shared" si="157"/>
        <v>27</v>
      </c>
      <c r="AA157" s="4">
        <f t="shared" si="157"/>
        <v>5</v>
      </c>
      <c r="AB157" s="4">
        <f t="shared" si="157"/>
        <v>7</v>
      </c>
      <c r="AC157" s="4">
        <f t="shared" si="157"/>
        <v>21</v>
      </c>
      <c r="AD157" s="4">
        <f t="shared" si="157"/>
        <v>31</v>
      </c>
      <c r="AE157" s="4">
        <f t="shared" si="157"/>
        <v>5</v>
      </c>
      <c r="AF157" s="4">
        <f t="shared" si="157"/>
        <v>9</v>
      </c>
      <c r="AG157" s="4">
        <f t="shared" si="157"/>
        <v>0</v>
      </c>
      <c r="AH157" s="4">
        <f t="shared" si="157"/>
        <v>0</v>
      </c>
    </row>
    <row r="158">
      <c r="A158" s="7">
        <v>157.0</v>
      </c>
      <c r="B158" s="16">
        <v>44875.0</v>
      </c>
      <c r="C158" s="7">
        <v>2022.0</v>
      </c>
      <c r="D158" s="7" t="s">
        <v>28</v>
      </c>
      <c r="E158" s="7" t="s">
        <v>4</v>
      </c>
      <c r="F158" s="7" t="s">
        <v>10</v>
      </c>
      <c r="G158" s="9">
        <f t="shared" si="2"/>
        <v>6</v>
      </c>
      <c r="H158" s="7" t="s">
        <v>28</v>
      </c>
      <c r="I158" s="7" t="s">
        <v>29</v>
      </c>
      <c r="J158" s="7" t="s">
        <v>28</v>
      </c>
      <c r="K158" s="7" t="s">
        <v>29</v>
      </c>
      <c r="L158" s="7" t="s">
        <v>29</v>
      </c>
      <c r="M158" s="7" t="s">
        <v>28</v>
      </c>
      <c r="N158" s="7" t="s">
        <v>28</v>
      </c>
      <c r="O158" s="7" t="s">
        <v>29</v>
      </c>
      <c r="P158" s="7" t="s">
        <v>29</v>
      </c>
      <c r="Q158" s="7" t="s">
        <v>28</v>
      </c>
      <c r="R158" s="7" t="s">
        <v>29</v>
      </c>
      <c r="S158" s="12"/>
      <c r="T158" s="13"/>
      <c r="V158" s="4">
        <f t="shared" ref="V158:AH158" si="158">COUNTIF($F$2:$F158,V$1)</f>
        <v>5</v>
      </c>
      <c r="W158" s="4">
        <f t="shared" si="158"/>
        <v>22</v>
      </c>
      <c r="X158" s="4">
        <f t="shared" si="158"/>
        <v>10</v>
      </c>
      <c r="Y158" s="4">
        <f t="shared" si="158"/>
        <v>13</v>
      </c>
      <c r="Z158" s="4">
        <f t="shared" si="158"/>
        <v>27</v>
      </c>
      <c r="AA158" s="4">
        <f t="shared" si="158"/>
        <v>5</v>
      </c>
      <c r="AB158" s="4">
        <f t="shared" si="158"/>
        <v>7</v>
      </c>
      <c r="AC158" s="4">
        <f t="shared" si="158"/>
        <v>21</v>
      </c>
      <c r="AD158" s="4">
        <f t="shared" si="158"/>
        <v>31</v>
      </c>
      <c r="AE158" s="4">
        <f t="shared" si="158"/>
        <v>5</v>
      </c>
      <c r="AF158" s="4">
        <f t="shared" si="158"/>
        <v>10</v>
      </c>
      <c r="AG158" s="4">
        <f t="shared" si="158"/>
        <v>0</v>
      </c>
      <c r="AH158" s="4">
        <f t="shared" si="158"/>
        <v>0</v>
      </c>
    </row>
    <row r="159">
      <c r="A159" s="7">
        <v>158.0</v>
      </c>
      <c r="B159" s="16">
        <v>44902.0</v>
      </c>
      <c r="C159" s="7">
        <v>2022.0</v>
      </c>
      <c r="D159" s="7" t="s">
        <v>28</v>
      </c>
      <c r="E159" s="7" t="s">
        <v>5</v>
      </c>
      <c r="F159" s="7" t="s">
        <v>1</v>
      </c>
      <c r="G159" s="9">
        <f t="shared" si="2"/>
        <v>7</v>
      </c>
      <c r="H159" s="7" t="s">
        <v>29</v>
      </c>
      <c r="I159" s="7" t="s">
        <v>29</v>
      </c>
      <c r="J159" s="7" t="s">
        <v>29</v>
      </c>
      <c r="K159" s="7" t="s">
        <v>28</v>
      </c>
      <c r="L159" s="7" t="s">
        <v>29</v>
      </c>
      <c r="M159" s="7" t="s">
        <v>29</v>
      </c>
      <c r="N159" s="7" t="s">
        <v>28</v>
      </c>
      <c r="O159" s="7" t="s">
        <v>29</v>
      </c>
      <c r="P159" s="7" t="s">
        <v>29</v>
      </c>
      <c r="Q159" s="7" t="s">
        <v>28</v>
      </c>
      <c r="R159" s="7" t="s">
        <v>28</v>
      </c>
      <c r="S159" s="12"/>
      <c r="T159" s="13"/>
      <c r="V159" s="4">
        <f t="shared" ref="V159:AH159" si="159">COUNTIF($F$2:$F159,V$1)</f>
        <v>5</v>
      </c>
      <c r="W159" s="4">
        <f t="shared" si="159"/>
        <v>23</v>
      </c>
      <c r="X159" s="4">
        <f t="shared" si="159"/>
        <v>10</v>
      </c>
      <c r="Y159" s="4">
        <f t="shared" si="159"/>
        <v>13</v>
      </c>
      <c r="Z159" s="4">
        <f t="shared" si="159"/>
        <v>27</v>
      </c>
      <c r="AA159" s="4">
        <f t="shared" si="159"/>
        <v>5</v>
      </c>
      <c r="AB159" s="4">
        <f t="shared" si="159"/>
        <v>7</v>
      </c>
      <c r="AC159" s="4">
        <f t="shared" si="159"/>
        <v>21</v>
      </c>
      <c r="AD159" s="4">
        <f t="shared" si="159"/>
        <v>31</v>
      </c>
      <c r="AE159" s="4">
        <f t="shared" si="159"/>
        <v>5</v>
      </c>
      <c r="AF159" s="4">
        <f t="shared" si="159"/>
        <v>10</v>
      </c>
      <c r="AG159" s="4">
        <f t="shared" si="159"/>
        <v>0</v>
      </c>
      <c r="AH159" s="4">
        <f t="shared" si="159"/>
        <v>0</v>
      </c>
    </row>
    <row r="160">
      <c r="A160" s="7">
        <v>159.0</v>
      </c>
      <c r="B160" s="16">
        <v>44955.0</v>
      </c>
      <c r="C160" s="7">
        <v>2023.0</v>
      </c>
      <c r="D160" s="7" t="s">
        <v>28</v>
      </c>
      <c r="E160" s="7" t="s">
        <v>8</v>
      </c>
      <c r="F160" s="7" t="s">
        <v>3</v>
      </c>
      <c r="G160" s="9">
        <f t="shared" si="2"/>
        <v>7</v>
      </c>
      <c r="H160" s="7" t="s">
        <v>29</v>
      </c>
      <c r="I160" s="7" t="s">
        <v>29</v>
      </c>
      <c r="J160" s="7" t="s">
        <v>28</v>
      </c>
      <c r="K160" s="7" t="s">
        <v>29</v>
      </c>
      <c r="L160" s="7" t="s">
        <v>29</v>
      </c>
      <c r="M160" s="7" t="s">
        <v>29</v>
      </c>
      <c r="N160" s="7" t="s">
        <v>28</v>
      </c>
      <c r="O160" s="7" t="s">
        <v>29</v>
      </c>
      <c r="P160" s="7" t="s">
        <v>29</v>
      </c>
      <c r="Q160" s="7" t="s">
        <v>28</v>
      </c>
      <c r="R160" s="7" t="s">
        <v>28</v>
      </c>
      <c r="S160" s="12"/>
      <c r="T160" s="13"/>
      <c r="V160" s="4">
        <f t="shared" ref="V160:AH160" si="160">COUNTIF($F$2:$F160,V$1)</f>
        <v>5</v>
      </c>
      <c r="W160" s="4">
        <f t="shared" si="160"/>
        <v>23</v>
      </c>
      <c r="X160" s="4">
        <f t="shared" si="160"/>
        <v>10</v>
      </c>
      <c r="Y160" s="4">
        <f t="shared" si="160"/>
        <v>14</v>
      </c>
      <c r="Z160" s="4">
        <f t="shared" si="160"/>
        <v>27</v>
      </c>
      <c r="AA160" s="4">
        <f t="shared" si="160"/>
        <v>5</v>
      </c>
      <c r="AB160" s="4">
        <f t="shared" si="160"/>
        <v>7</v>
      </c>
      <c r="AC160" s="4">
        <f t="shared" si="160"/>
        <v>21</v>
      </c>
      <c r="AD160" s="4">
        <f t="shared" si="160"/>
        <v>31</v>
      </c>
      <c r="AE160" s="4">
        <f t="shared" si="160"/>
        <v>5</v>
      </c>
      <c r="AF160" s="4">
        <f t="shared" si="160"/>
        <v>10</v>
      </c>
      <c r="AG160" s="4">
        <f t="shared" si="160"/>
        <v>0</v>
      </c>
      <c r="AH160" s="4">
        <f t="shared" si="160"/>
        <v>0</v>
      </c>
    </row>
    <row r="161">
      <c r="A161" s="7">
        <v>160.0</v>
      </c>
      <c r="B161" s="16">
        <v>44985.0</v>
      </c>
      <c r="C161" s="7">
        <v>2023.0</v>
      </c>
      <c r="D161" s="7" t="s">
        <v>28</v>
      </c>
      <c r="E161" s="7" t="s">
        <v>1</v>
      </c>
      <c r="F161" s="7" t="s">
        <v>7</v>
      </c>
      <c r="G161" s="9">
        <f t="shared" si="2"/>
        <v>7</v>
      </c>
      <c r="H161" s="7" t="s">
        <v>29</v>
      </c>
      <c r="I161" s="7" t="s">
        <v>29</v>
      </c>
      <c r="J161" s="7" t="s">
        <v>29</v>
      </c>
      <c r="K161" s="7" t="s">
        <v>29</v>
      </c>
      <c r="L161" s="7" t="s">
        <v>29</v>
      </c>
      <c r="M161" s="7" t="s">
        <v>29</v>
      </c>
      <c r="N161" s="7" t="s">
        <v>28</v>
      </c>
      <c r="O161" s="7" t="s">
        <v>29</v>
      </c>
      <c r="P161" s="7" t="s">
        <v>28</v>
      </c>
      <c r="Q161" s="7" t="s">
        <v>28</v>
      </c>
      <c r="R161" s="7" t="s">
        <v>28</v>
      </c>
      <c r="S161" s="12"/>
      <c r="T161" s="13"/>
      <c r="V161" s="4">
        <f t="shared" ref="V161:AH161" si="161">COUNTIF($F$2:$F161,V$1)</f>
        <v>5</v>
      </c>
      <c r="W161" s="4">
        <f t="shared" si="161"/>
        <v>23</v>
      </c>
      <c r="X161" s="4">
        <f t="shared" si="161"/>
        <v>10</v>
      </c>
      <c r="Y161" s="4">
        <f t="shared" si="161"/>
        <v>14</v>
      </c>
      <c r="Z161" s="4">
        <f t="shared" si="161"/>
        <v>27</v>
      </c>
      <c r="AA161" s="4">
        <f t="shared" si="161"/>
        <v>5</v>
      </c>
      <c r="AB161" s="4">
        <f t="shared" si="161"/>
        <v>7</v>
      </c>
      <c r="AC161" s="4">
        <f t="shared" si="161"/>
        <v>22</v>
      </c>
      <c r="AD161" s="4">
        <f t="shared" si="161"/>
        <v>31</v>
      </c>
      <c r="AE161" s="4">
        <f t="shared" si="161"/>
        <v>5</v>
      </c>
      <c r="AF161" s="4">
        <f t="shared" si="161"/>
        <v>10</v>
      </c>
      <c r="AG161" s="4">
        <f t="shared" si="161"/>
        <v>0</v>
      </c>
      <c r="AH161" s="4">
        <f t="shared" si="161"/>
        <v>0</v>
      </c>
    </row>
    <row r="162">
      <c r="A162" s="7">
        <v>161.0</v>
      </c>
      <c r="B162" s="16">
        <v>45008.0</v>
      </c>
      <c r="C162" s="7">
        <v>2023.0</v>
      </c>
      <c r="D162" s="7" t="s">
        <v>28</v>
      </c>
      <c r="E162" s="7" t="s">
        <v>7</v>
      </c>
      <c r="F162" s="7" t="s">
        <v>0</v>
      </c>
      <c r="G162" s="9">
        <f t="shared" si="2"/>
        <v>7</v>
      </c>
      <c r="H162" s="7" t="s">
        <v>29</v>
      </c>
      <c r="I162" s="7" t="s">
        <v>29</v>
      </c>
      <c r="J162" s="7" t="s">
        <v>28</v>
      </c>
      <c r="K162" s="7" t="s">
        <v>29</v>
      </c>
      <c r="L162" s="7" t="s">
        <v>29</v>
      </c>
      <c r="M162" s="7" t="s">
        <v>28</v>
      </c>
      <c r="N162" s="7" t="s">
        <v>28</v>
      </c>
      <c r="O162" s="7" t="s">
        <v>29</v>
      </c>
      <c r="P162" s="7" t="s">
        <v>29</v>
      </c>
      <c r="Q162" s="7" t="s">
        <v>28</v>
      </c>
      <c r="R162" s="7" t="s">
        <v>29</v>
      </c>
      <c r="S162" s="12"/>
      <c r="T162" s="13"/>
      <c r="V162" s="4">
        <f t="shared" ref="V162:AH162" si="162">COUNTIF($F$2:$F162,V$1)</f>
        <v>6</v>
      </c>
      <c r="W162" s="4">
        <f t="shared" si="162"/>
        <v>23</v>
      </c>
      <c r="X162" s="4">
        <f t="shared" si="162"/>
        <v>10</v>
      </c>
      <c r="Y162" s="4">
        <f t="shared" si="162"/>
        <v>14</v>
      </c>
      <c r="Z162" s="4">
        <f t="shared" si="162"/>
        <v>27</v>
      </c>
      <c r="AA162" s="4">
        <f t="shared" si="162"/>
        <v>5</v>
      </c>
      <c r="AB162" s="4">
        <f t="shared" si="162"/>
        <v>7</v>
      </c>
      <c r="AC162" s="4">
        <f t="shared" si="162"/>
        <v>22</v>
      </c>
      <c r="AD162" s="4">
        <f t="shared" si="162"/>
        <v>31</v>
      </c>
      <c r="AE162" s="4">
        <f t="shared" si="162"/>
        <v>5</v>
      </c>
      <c r="AF162" s="4">
        <f t="shared" si="162"/>
        <v>10</v>
      </c>
      <c r="AG162" s="4">
        <f t="shared" si="162"/>
        <v>0</v>
      </c>
      <c r="AH162" s="4">
        <f t="shared" si="162"/>
        <v>0</v>
      </c>
    </row>
    <row r="163">
      <c r="A163" s="7">
        <v>162.0</v>
      </c>
      <c r="B163" s="16">
        <v>45022.0</v>
      </c>
      <c r="C163" s="7">
        <v>2023.0</v>
      </c>
      <c r="D163" s="7" t="s">
        <v>29</v>
      </c>
      <c r="E163" s="7" t="s">
        <v>30</v>
      </c>
      <c r="F163" s="7" t="s">
        <v>1</v>
      </c>
      <c r="G163" s="9">
        <f t="shared" si="2"/>
        <v>4</v>
      </c>
      <c r="H163" s="7" t="s">
        <v>28</v>
      </c>
      <c r="I163" s="7" t="s">
        <v>29</v>
      </c>
      <c r="J163" s="7" t="s">
        <v>28</v>
      </c>
      <c r="K163" s="7" t="s">
        <v>29</v>
      </c>
      <c r="L163" s="7" t="s">
        <v>29</v>
      </c>
      <c r="M163" s="7" t="s">
        <v>28</v>
      </c>
      <c r="N163" s="7" t="s">
        <v>28</v>
      </c>
      <c r="O163" s="7" t="s">
        <v>29</v>
      </c>
      <c r="P163" s="7" t="s">
        <v>28</v>
      </c>
      <c r="Q163" s="7" t="s">
        <v>28</v>
      </c>
      <c r="R163" s="7" t="s">
        <v>28</v>
      </c>
      <c r="S163" s="12"/>
      <c r="T163" s="13"/>
      <c r="V163" s="4">
        <f t="shared" ref="V163:AH163" si="163">COUNTIF($F$2:$F163,V$1)</f>
        <v>6</v>
      </c>
      <c r="W163" s="4">
        <f t="shared" si="163"/>
        <v>24</v>
      </c>
      <c r="X163" s="4">
        <f t="shared" si="163"/>
        <v>10</v>
      </c>
      <c r="Y163" s="4">
        <f t="shared" si="163"/>
        <v>14</v>
      </c>
      <c r="Z163" s="4">
        <f t="shared" si="163"/>
        <v>27</v>
      </c>
      <c r="AA163" s="4">
        <f t="shared" si="163"/>
        <v>5</v>
      </c>
      <c r="AB163" s="4">
        <f t="shared" si="163"/>
        <v>7</v>
      </c>
      <c r="AC163" s="4">
        <f t="shared" si="163"/>
        <v>22</v>
      </c>
      <c r="AD163" s="4">
        <f t="shared" si="163"/>
        <v>31</v>
      </c>
      <c r="AE163" s="4">
        <f t="shared" si="163"/>
        <v>5</v>
      </c>
      <c r="AF163" s="4">
        <f t="shared" si="163"/>
        <v>10</v>
      </c>
      <c r="AG163" s="4">
        <f t="shared" si="163"/>
        <v>0</v>
      </c>
      <c r="AH163" s="4">
        <f t="shared" si="163"/>
        <v>0</v>
      </c>
    </row>
    <row r="164">
      <c r="A164" s="7">
        <v>163.0</v>
      </c>
      <c r="B164" s="16">
        <v>45036.0</v>
      </c>
      <c r="C164" s="7">
        <v>2023.0</v>
      </c>
      <c r="D164" s="7" t="s">
        <v>28</v>
      </c>
      <c r="E164" s="7" t="s">
        <v>0</v>
      </c>
      <c r="F164" s="7" t="s">
        <v>0</v>
      </c>
      <c r="G164" s="9">
        <f t="shared" si="2"/>
        <v>8</v>
      </c>
      <c r="H164" s="7" t="s">
        <v>29</v>
      </c>
      <c r="I164" s="7" t="s">
        <v>29</v>
      </c>
      <c r="J164" s="7" t="s">
        <v>29</v>
      </c>
      <c r="K164" s="7" t="s">
        <v>28</v>
      </c>
      <c r="L164" s="7" t="s">
        <v>29</v>
      </c>
      <c r="M164" s="7" t="s">
        <v>29</v>
      </c>
      <c r="N164" s="7" t="s">
        <v>28</v>
      </c>
      <c r="O164" s="7" t="s">
        <v>29</v>
      </c>
      <c r="P164" s="7" t="s">
        <v>29</v>
      </c>
      <c r="Q164" s="7" t="s">
        <v>28</v>
      </c>
      <c r="R164" s="7" t="s">
        <v>29</v>
      </c>
      <c r="S164" s="12"/>
      <c r="T164" s="13"/>
      <c r="V164" s="4">
        <f t="shared" ref="V164:AH164" si="164">COUNTIF($F$2:$F164,V$1)</f>
        <v>7</v>
      </c>
      <c r="W164" s="4">
        <f t="shared" si="164"/>
        <v>24</v>
      </c>
      <c r="X164" s="4">
        <f t="shared" si="164"/>
        <v>10</v>
      </c>
      <c r="Y164" s="4">
        <f t="shared" si="164"/>
        <v>14</v>
      </c>
      <c r="Z164" s="4">
        <f t="shared" si="164"/>
        <v>27</v>
      </c>
      <c r="AA164" s="4">
        <f t="shared" si="164"/>
        <v>5</v>
      </c>
      <c r="AB164" s="4">
        <f t="shared" si="164"/>
        <v>7</v>
      </c>
      <c r="AC164" s="4">
        <f t="shared" si="164"/>
        <v>22</v>
      </c>
      <c r="AD164" s="4">
        <f t="shared" si="164"/>
        <v>31</v>
      </c>
      <c r="AE164" s="4">
        <f t="shared" si="164"/>
        <v>5</v>
      </c>
      <c r="AF164" s="4">
        <f t="shared" si="164"/>
        <v>10</v>
      </c>
      <c r="AG164" s="4">
        <f t="shared" si="164"/>
        <v>0</v>
      </c>
      <c r="AH164" s="4">
        <f t="shared" si="164"/>
        <v>0</v>
      </c>
    </row>
    <row r="165">
      <c r="A165" s="7">
        <v>164.0</v>
      </c>
      <c r="B165" s="16">
        <v>45090.0</v>
      </c>
      <c r="C165" s="7">
        <v>2023.0</v>
      </c>
      <c r="D165" s="7" t="s">
        <v>28</v>
      </c>
      <c r="E165" s="7" t="s">
        <v>2</v>
      </c>
      <c r="F165" s="7" t="s">
        <v>2</v>
      </c>
      <c r="G165" s="9">
        <f t="shared" si="2"/>
        <v>7</v>
      </c>
      <c r="H165" s="7" t="s">
        <v>29</v>
      </c>
      <c r="I165" s="7" t="s">
        <v>29</v>
      </c>
      <c r="J165" s="7" t="s">
        <v>29</v>
      </c>
      <c r="K165" s="7" t="s">
        <v>28</v>
      </c>
      <c r="L165" s="7" t="s">
        <v>29</v>
      </c>
      <c r="M165" s="7" t="s">
        <v>28</v>
      </c>
      <c r="N165" s="7" t="s">
        <v>28</v>
      </c>
      <c r="O165" s="7" t="s">
        <v>29</v>
      </c>
      <c r="P165" s="7" t="s">
        <v>29</v>
      </c>
      <c r="Q165" s="7" t="s">
        <v>29</v>
      </c>
      <c r="R165" s="7" t="s">
        <v>28</v>
      </c>
      <c r="S165" s="12"/>
      <c r="T165" s="13"/>
      <c r="V165" s="4">
        <f t="shared" ref="V165:AH165" si="165">COUNTIF($F$2:$F165,V$1)</f>
        <v>7</v>
      </c>
      <c r="W165" s="4">
        <f t="shared" si="165"/>
        <v>24</v>
      </c>
      <c r="X165" s="4">
        <f t="shared" si="165"/>
        <v>11</v>
      </c>
      <c r="Y165" s="4">
        <f t="shared" si="165"/>
        <v>14</v>
      </c>
      <c r="Z165" s="4">
        <f t="shared" si="165"/>
        <v>27</v>
      </c>
      <c r="AA165" s="4">
        <f t="shared" si="165"/>
        <v>5</v>
      </c>
      <c r="AB165" s="4">
        <f t="shared" si="165"/>
        <v>7</v>
      </c>
      <c r="AC165" s="4">
        <f t="shared" si="165"/>
        <v>22</v>
      </c>
      <c r="AD165" s="4">
        <f t="shared" si="165"/>
        <v>31</v>
      </c>
      <c r="AE165" s="4">
        <f t="shared" si="165"/>
        <v>5</v>
      </c>
      <c r="AF165" s="4">
        <f t="shared" si="165"/>
        <v>10</v>
      </c>
      <c r="AG165" s="4">
        <f t="shared" si="165"/>
        <v>0</v>
      </c>
      <c r="AH165" s="4">
        <f t="shared" si="165"/>
        <v>0</v>
      </c>
    </row>
    <row r="166">
      <c r="A166" s="7">
        <v>165.0</v>
      </c>
      <c r="B166" s="16">
        <v>45132.0</v>
      </c>
      <c r="C166" s="7">
        <v>2023.0</v>
      </c>
      <c r="D166" s="7" t="s">
        <v>28</v>
      </c>
      <c r="E166" s="7" t="s">
        <v>9</v>
      </c>
      <c r="F166" s="7" t="s">
        <v>5</v>
      </c>
      <c r="G166" s="9">
        <f t="shared" si="2"/>
        <v>7</v>
      </c>
      <c r="H166" s="7" t="s">
        <v>28</v>
      </c>
      <c r="I166" s="7" t="s">
        <v>29</v>
      </c>
      <c r="J166" s="7" t="s">
        <v>29</v>
      </c>
      <c r="K166" s="7" t="s">
        <v>28</v>
      </c>
      <c r="L166" s="7" t="s">
        <v>29</v>
      </c>
      <c r="M166" s="7" t="s">
        <v>29</v>
      </c>
      <c r="N166" s="7" t="s">
        <v>28</v>
      </c>
      <c r="O166" s="7" t="s">
        <v>29</v>
      </c>
      <c r="P166" s="7" t="s">
        <v>29</v>
      </c>
      <c r="Q166" s="7" t="s">
        <v>29</v>
      </c>
      <c r="R166" s="7" t="s">
        <v>28</v>
      </c>
      <c r="S166" s="12"/>
      <c r="T166" s="13"/>
      <c r="V166" s="4">
        <f t="shared" ref="V166:AH166" si="166">COUNTIF($F$2:$F166,V$1)</f>
        <v>7</v>
      </c>
      <c r="W166" s="4">
        <f t="shared" si="166"/>
        <v>24</v>
      </c>
      <c r="X166" s="4">
        <f t="shared" si="166"/>
        <v>11</v>
      </c>
      <c r="Y166" s="4">
        <f t="shared" si="166"/>
        <v>14</v>
      </c>
      <c r="Z166" s="4">
        <f t="shared" si="166"/>
        <v>27</v>
      </c>
      <c r="AA166" s="4">
        <f t="shared" si="166"/>
        <v>6</v>
      </c>
      <c r="AB166" s="4">
        <f t="shared" si="166"/>
        <v>7</v>
      </c>
      <c r="AC166" s="4">
        <f t="shared" si="166"/>
        <v>22</v>
      </c>
      <c r="AD166" s="4">
        <f t="shared" si="166"/>
        <v>31</v>
      </c>
      <c r="AE166" s="4">
        <f t="shared" si="166"/>
        <v>5</v>
      </c>
      <c r="AF166" s="4">
        <f t="shared" si="166"/>
        <v>10</v>
      </c>
      <c r="AG166" s="4">
        <f t="shared" si="166"/>
        <v>0</v>
      </c>
      <c r="AH166" s="4">
        <f t="shared" si="166"/>
        <v>0</v>
      </c>
    </row>
    <row r="167">
      <c r="A167" s="7">
        <v>166.0</v>
      </c>
      <c r="B167" s="16">
        <v>45166.0</v>
      </c>
      <c r="C167" s="7">
        <v>2023.0</v>
      </c>
      <c r="D167" s="7" t="s">
        <v>28</v>
      </c>
      <c r="E167" s="7" t="s">
        <v>10</v>
      </c>
      <c r="F167" s="7" t="s">
        <v>0</v>
      </c>
      <c r="G167" s="9">
        <f t="shared" si="2"/>
        <v>7</v>
      </c>
      <c r="H167" s="7" t="s">
        <v>29</v>
      </c>
      <c r="I167" s="7" t="s">
        <v>29</v>
      </c>
      <c r="J167" s="7" t="s">
        <v>29</v>
      </c>
      <c r="K167" s="7" t="s">
        <v>28</v>
      </c>
      <c r="L167" s="7" t="s">
        <v>29</v>
      </c>
      <c r="M167" s="7" t="s">
        <v>29</v>
      </c>
      <c r="N167" s="7" t="s">
        <v>28</v>
      </c>
      <c r="O167" s="7" t="s">
        <v>29</v>
      </c>
      <c r="P167" s="7" t="s">
        <v>28</v>
      </c>
      <c r="Q167" s="7" t="s">
        <v>28</v>
      </c>
      <c r="R167" s="7" t="s">
        <v>29</v>
      </c>
      <c r="S167" s="12"/>
      <c r="T167" s="13"/>
      <c r="V167" s="4">
        <f t="shared" ref="V167:AH167" si="167">COUNTIF($F$2:$F167,V$1)</f>
        <v>8</v>
      </c>
      <c r="W167" s="4">
        <f t="shared" si="167"/>
        <v>24</v>
      </c>
      <c r="X167" s="4">
        <f t="shared" si="167"/>
        <v>11</v>
      </c>
      <c r="Y167" s="4">
        <f t="shared" si="167"/>
        <v>14</v>
      </c>
      <c r="Z167" s="4">
        <f t="shared" si="167"/>
        <v>27</v>
      </c>
      <c r="AA167" s="4">
        <f t="shared" si="167"/>
        <v>6</v>
      </c>
      <c r="AB167" s="4">
        <f t="shared" si="167"/>
        <v>7</v>
      </c>
      <c r="AC167" s="4">
        <f t="shared" si="167"/>
        <v>22</v>
      </c>
      <c r="AD167" s="4">
        <f t="shared" si="167"/>
        <v>31</v>
      </c>
      <c r="AE167" s="4">
        <f t="shared" si="167"/>
        <v>5</v>
      </c>
      <c r="AF167" s="4">
        <f t="shared" si="167"/>
        <v>10</v>
      </c>
      <c r="AG167" s="4">
        <f t="shared" si="167"/>
        <v>0</v>
      </c>
      <c r="AH167" s="4">
        <f t="shared" si="167"/>
        <v>0</v>
      </c>
    </row>
    <row r="168">
      <c r="A168" s="7">
        <v>167.0</v>
      </c>
      <c r="B168" s="16">
        <v>45195.0</v>
      </c>
      <c r="C168" s="7">
        <v>2023.0</v>
      </c>
      <c r="D168" s="7" t="s">
        <v>28</v>
      </c>
      <c r="E168" s="7" t="s">
        <v>4</v>
      </c>
      <c r="F168" s="7" t="s">
        <v>10</v>
      </c>
      <c r="G168" s="9">
        <f t="shared" si="2"/>
        <v>7</v>
      </c>
      <c r="H168" s="7" t="s">
        <v>29</v>
      </c>
      <c r="I168" s="7" t="s">
        <v>29</v>
      </c>
      <c r="J168" s="7" t="s">
        <v>28</v>
      </c>
      <c r="K168" s="7" t="s">
        <v>28</v>
      </c>
      <c r="L168" s="7" t="s">
        <v>29</v>
      </c>
      <c r="M168" s="7" t="s">
        <v>29</v>
      </c>
      <c r="N168" s="7" t="s">
        <v>28</v>
      </c>
      <c r="O168" s="7" t="s">
        <v>29</v>
      </c>
      <c r="P168" s="7" t="s">
        <v>29</v>
      </c>
      <c r="Q168" s="7" t="s">
        <v>28</v>
      </c>
      <c r="R168" s="7" t="s">
        <v>29</v>
      </c>
      <c r="S168" s="12"/>
      <c r="T168" s="13"/>
      <c r="V168" s="4">
        <f t="shared" ref="V168:AH168" si="168">COUNTIF($F$2:$F168,V$1)</f>
        <v>8</v>
      </c>
      <c r="W168" s="4">
        <f t="shared" si="168"/>
        <v>24</v>
      </c>
      <c r="X168" s="4">
        <f t="shared" si="168"/>
        <v>11</v>
      </c>
      <c r="Y168" s="4">
        <f t="shared" si="168"/>
        <v>14</v>
      </c>
      <c r="Z168" s="4">
        <f t="shared" si="168"/>
        <v>27</v>
      </c>
      <c r="AA168" s="4">
        <f t="shared" si="168"/>
        <v>6</v>
      </c>
      <c r="AB168" s="4">
        <f t="shared" si="168"/>
        <v>7</v>
      </c>
      <c r="AC168" s="4">
        <f t="shared" si="168"/>
        <v>22</v>
      </c>
      <c r="AD168" s="4">
        <f t="shared" si="168"/>
        <v>31</v>
      </c>
      <c r="AE168" s="4">
        <f t="shared" si="168"/>
        <v>5</v>
      </c>
      <c r="AF168" s="4">
        <f t="shared" si="168"/>
        <v>11</v>
      </c>
      <c r="AG168" s="4">
        <f t="shared" si="168"/>
        <v>0</v>
      </c>
      <c r="AH168" s="4">
        <f t="shared" si="168"/>
        <v>0</v>
      </c>
    </row>
    <row r="169">
      <c r="A169" s="7">
        <v>168.0</v>
      </c>
      <c r="B169" s="16">
        <v>45223.0</v>
      </c>
      <c r="C169" s="7">
        <v>2023.0</v>
      </c>
      <c r="D169" s="7" t="s">
        <v>28</v>
      </c>
      <c r="E169" s="7" t="s">
        <v>5</v>
      </c>
      <c r="F169" s="7" t="s">
        <v>7</v>
      </c>
      <c r="G169" s="9">
        <f t="shared" si="2"/>
        <v>7</v>
      </c>
      <c r="H169" s="7" t="s">
        <v>29</v>
      </c>
      <c r="I169" s="7" t="s">
        <v>29</v>
      </c>
      <c r="J169" s="7" t="s">
        <v>28</v>
      </c>
      <c r="K169" s="7" t="s">
        <v>29</v>
      </c>
      <c r="L169" s="7" t="s">
        <v>29</v>
      </c>
      <c r="M169" s="7" t="s">
        <v>29</v>
      </c>
      <c r="N169" s="7" t="s">
        <v>28</v>
      </c>
      <c r="O169" s="7" t="s">
        <v>29</v>
      </c>
      <c r="P169" s="7" t="s">
        <v>29</v>
      </c>
      <c r="Q169" s="7" t="s">
        <v>28</v>
      </c>
      <c r="R169" s="7" t="s">
        <v>28</v>
      </c>
      <c r="S169" s="12"/>
      <c r="T169" s="13"/>
      <c r="V169" s="4">
        <f t="shared" ref="V169:AH169" si="169">COUNTIF($F$2:$F169,V$1)</f>
        <v>8</v>
      </c>
      <c r="W169" s="4">
        <f t="shared" si="169"/>
        <v>24</v>
      </c>
      <c r="X169" s="4">
        <f t="shared" si="169"/>
        <v>11</v>
      </c>
      <c r="Y169" s="4">
        <f t="shared" si="169"/>
        <v>14</v>
      </c>
      <c r="Z169" s="4">
        <f t="shared" si="169"/>
        <v>27</v>
      </c>
      <c r="AA169" s="4">
        <f t="shared" si="169"/>
        <v>6</v>
      </c>
      <c r="AB169" s="4">
        <f t="shared" si="169"/>
        <v>7</v>
      </c>
      <c r="AC169" s="4">
        <f t="shared" si="169"/>
        <v>23</v>
      </c>
      <c r="AD169" s="4">
        <f t="shared" si="169"/>
        <v>31</v>
      </c>
      <c r="AE169" s="4">
        <f t="shared" si="169"/>
        <v>5</v>
      </c>
      <c r="AF169" s="4">
        <f t="shared" si="169"/>
        <v>11</v>
      </c>
      <c r="AG169" s="4">
        <f t="shared" si="169"/>
        <v>0</v>
      </c>
      <c r="AH169" s="4">
        <f t="shared" si="169"/>
        <v>0</v>
      </c>
    </row>
    <row r="170">
      <c r="A170" s="7">
        <v>169.0</v>
      </c>
      <c r="B170" s="16">
        <v>45260.0</v>
      </c>
      <c r="C170" s="7">
        <v>2023.0</v>
      </c>
      <c r="D170" s="7" t="s">
        <v>28</v>
      </c>
      <c r="E170" s="7" t="s">
        <v>3</v>
      </c>
      <c r="F170" s="7" t="s">
        <v>10</v>
      </c>
      <c r="G170" s="9">
        <f t="shared" si="2"/>
        <v>6</v>
      </c>
      <c r="H170" s="7" t="s">
        <v>29</v>
      </c>
      <c r="I170" s="7" t="s">
        <v>29</v>
      </c>
      <c r="J170" s="7" t="s">
        <v>28</v>
      </c>
      <c r="K170" s="7" t="s">
        <v>29</v>
      </c>
      <c r="L170" s="7" t="s">
        <v>29</v>
      </c>
      <c r="M170" s="7" t="s">
        <v>28</v>
      </c>
      <c r="N170" s="7" t="s">
        <v>28</v>
      </c>
      <c r="O170" s="7" t="s">
        <v>29</v>
      </c>
      <c r="P170" s="7" t="s">
        <v>28</v>
      </c>
      <c r="Q170" s="7" t="s">
        <v>28</v>
      </c>
      <c r="R170" s="7" t="s">
        <v>29</v>
      </c>
      <c r="S170" s="12"/>
      <c r="T170" s="13"/>
      <c r="V170" s="4">
        <f t="shared" ref="V170:AH170" si="170">COUNTIF($F$2:$F170,V$1)</f>
        <v>8</v>
      </c>
      <c r="W170" s="4">
        <f t="shared" si="170"/>
        <v>24</v>
      </c>
      <c r="X170" s="4">
        <f t="shared" si="170"/>
        <v>11</v>
      </c>
      <c r="Y170" s="4">
        <f t="shared" si="170"/>
        <v>14</v>
      </c>
      <c r="Z170" s="4">
        <f t="shared" si="170"/>
        <v>27</v>
      </c>
      <c r="AA170" s="4">
        <f t="shared" si="170"/>
        <v>6</v>
      </c>
      <c r="AB170" s="4">
        <f t="shared" si="170"/>
        <v>7</v>
      </c>
      <c r="AC170" s="4">
        <f t="shared" si="170"/>
        <v>23</v>
      </c>
      <c r="AD170" s="4">
        <f t="shared" si="170"/>
        <v>31</v>
      </c>
      <c r="AE170" s="4">
        <f t="shared" si="170"/>
        <v>5</v>
      </c>
      <c r="AF170" s="4">
        <f t="shared" si="170"/>
        <v>12</v>
      </c>
      <c r="AG170" s="4">
        <f t="shared" si="170"/>
        <v>0</v>
      </c>
      <c r="AH170" s="4">
        <f t="shared" si="170"/>
        <v>0</v>
      </c>
    </row>
    <row r="171">
      <c r="A171" s="7">
        <v>170.0</v>
      </c>
      <c r="B171" s="16">
        <v>45278.0</v>
      </c>
      <c r="C171" s="7">
        <v>2023.0</v>
      </c>
      <c r="D171" s="7" t="s">
        <v>28</v>
      </c>
      <c r="E171" s="7" t="s">
        <v>0</v>
      </c>
      <c r="F171" s="7" t="s">
        <v>7</v>
      </c>
      <c r="G171" s="9">
        <f t="shared" si="2"/>
        <v>6</v>
      </c>
      <c r="H171" s="7" t="s">
        <v>29</v>
      </c>
      <c r="I171" s="7" t="s">
        <v>29</v>
      </c>
      <c r="J171" s="7" t="s">
        <v>29</v>
      </c>
      <c r="K171" s="7" t="s">
        <v>28</v>
      </c>
      <c r="L171" s="7" t="s">
        <v>29</v>
      </c>
      <c r="M171" s="7" t="s">
        <v>28</v>
      </c>
      <c r="N171" s="7" t="s">
        <v>28</v>
      </c>
      <c r="O171" s="7" t="s">
        <v>29</v>
      </c>
      <c r="P171" s="7" t="s">
        <v>28</v>
      </c>
      <c r="Q171" s="7" t="s">
        <v>28</v>
      </c>
      <c r="R171" s="7" t="s">
        <v>29</v>
      </c>
      <c r="S171" s="12"/>
      <c r="T171" s="13"/>
      <c r="V171" s="4">
        <f t="shared" ref="V171:AH171" si="171">COUNTIF($F$2:$F171,V$1)</f>
        <v>8</v>
      </c>
      <c r="W171" s="4">
        <f t="shared" si="171"/>
        <v>24</v>
      </c>
      <c r="X171" s="4">
        <f t="shared" si="171"/>
        <v>11</v>
      </c>
      <c r="Y171" s="4">
        <f t="shared" si="171"/>
        <v>14</v>
      </c>
      <c r="Z171" s="4">
        <f t="shared" si="171"/>
        <v>27</v>
      </c>
      <c r="AA171" s="4">
        <f t="shared" si="171"/>
        <v>6</v>
      </c>
      <c r="AB171" s="4">
        <f t="shared" si="171"/>
        <v>7</v>
      </c>
      <c r="AC171" s="4">
        <f t="shared" si="171"/>
        <v>24</v>
      </c>
      <c r="AD171" s="4">
        <f t="shared" si="171"/>
        <v>31</v>
      </c>
      <c r="AE171" s="4">
        <f t="shared" si="171"/>
        <v>5</v>
      </c>
      <c r="AF171" s="4">
        <f t="shared" si="171"/>
        <v>12</v>
      </c>
      <c r="AG171" s="4">
        <f t="shared" si="171"/>
        <v>0</v>
      </c>
      <c r="AH171" s="4">
        <f t="shared" si="171"/>
        <v>0</v>
      </c>
    </row>
    <row r="172">
      <c r="A172" s="7">
        <v>171.0</v>
      </c>
      <c r="B172" s="16">
        <v>45309.0</v>
      </c>
      <c r="C172" s="7">
        <v>2024.0</v>
      </c>
      <c r="D172" s="7" t="s">
        <v>28</v>
      </c>
      <c r="E172" s="7" t="s">
        <v>8</v>
      </c>
      <c r="F172" s="7" t="s">
        <v>4</v>
      </c>
      <c r="G172" s="9">
        <f t="shared" si="2"/>
        <v>8</v>
      </c>
      <c r="H172" s="7" t="s">
        <v>29</v>
      </c>
      <c r="I172" s="7" t="s">
        <v>29</v>
      </c>
      <c r="J172" s="7" t="s">
        <v>29</v>
      </c>
      <c r="K172" s="7" t="s">
        <v>29</v>
      </c>
      <c r="L172" s="7" t="s">
        <v>29</v>
      </c>
      <c r="M172" s="7" t="s">
        <v>29</v>
      </c>
      <c r="N172" s="7" t="s">
        <v>28</v>
      </c>
      <c r="O172" s="7" t="s">
        <v>28</v>
      </c>
      <c r="P172" s="7" t="s">
        <v>29</v>
      </c>
      <c r="Q172" s="7" t="s">
        <v>28</v>
      </c>
      <c r="R172" s="7" t="s">
        <v>29</v>
      </c>
      <c r="S172" s="12"/>
      <c r="T172" s="13"/>
      <c r="V172" s="4">
        <f t="shared" ref="V172:AH172" si="172">COUNTIF($F$2:$F172,V$1)</f>
        <v>8</v>
      </c>
      <c r="W172" s="4">
        <f t="shared" si="172"/>
        <v>24</v>
      </c>
      <c r="X172" s="4">
        <f t="shared" si="172"/>
        <v>11</v>
      </c>
      <c r="Y172" s="4">
        <f t="shared" si="172"/>
        <v>14</v>
      </c>
      <c r="Z172" s="4">
        <f t="shared" si="172"/>
        <v>28</v>
      </c>
      <c r="AA172" s="4">
        <f t="shared" si="172"/>
        <v>6</v>
      </c>
      <c r="AB172" s="4">
        <f t="shared" si="172"/>
        <v>7</v>
      </c>
      <c r="AC172" s="4">
        <f t="shared" si="172"/>
        <v>24</v>
      </c>
      <c r="AD172" s="4">
        <f t="shared" si="172"/>
        <v>31</v>
      </c>
      <c r="AE172" s="4">
        <f t="shared" si="172"/>
        <v>5</v>
      </c>
      <c r="AF172" s="4">
        <f t="shared" si="172"/>
        <v>12</v>
      </c>
      <c r="AG172" s="4">
        <f t="shared" si="172"/>
        <v>0</v>
      </c>
      <c r="AH172" s="4">
        <f t="shared" si="172"/>
        <v>0</v>
      </c>
    </row>
    <row r="173">
      <c r="A173" s="7">
        <v>172.0</v>
      </c>
      <c r="B173" s="16">
        <v>45351.0</v>
      </c>
      <c r="C173" s="7">
        <v>2024.0</v>
      </c>
      <c r="D173" s="7" t="s">
        <v>28</v>
      </c>
      <c r="E173" s="7" t="s">
        <v>1</v>
      </c>
      <c r="F173" s="7" t="s">
        <v>9</v>
      </c>
      <c r="G173" s="9">
        <f t="shared" ref="G173:G185" si="174">countif(H173:S173,"Yes")</f>
        <v>10</v>
      </c>
      <c r="H173" s="7" t="s">
        <v>29</v>
      </c>
      <c r="I173" s="7" t="s">
        <v>29</v>
      </c>
      <c r="J173" s="7" t="s">
        <v>29</v>
      </c>
      <c r="K173" s="7" t="s">
        <v>29</v>
      </c>
      <c r="L173" s="7" t="s">
        <v>29</v>
      </c>
      <c r="M173" s="7" t="s">
        <v>29</v>
      </c>
      <c r="N173" s="7" t="s">
        <v>28</v>
      </c>
      <c r="O173" s="7" t="s">
        <v>29</v>
      </c>
      <c r="P173" s="7" t="s">
        <v>29</v>
      </c>
      <c r="Q173" s="7" t="s">
        <v>29</v>
      </c>
      <c r="R173" s="7" t="s">
        <v>28</v>
      </c>
      <c r="S173" s="7" t="s">
        <v>29</v>
      </c>
      <c r="T173" s="13"/>
      <c r="V173" s="4">
        <f t="shared" ref="V173:AH173" si="173">COUNTIF($F$2:$F173,V$1)</f>
        <v>8</v>
      </c>
      <c r="W173" s="4">
        <f t="shared" si="173"/>
        <v>24</v>
      </c>
      <c r="X173" s="4">
        <f t="shared" si="173"/>
        <v>11</v>
      </c>
      <c r="Y173" s="4">
        <f t="shared" si="173"/>
        <v>14</v>
      </c>
      <c r="Z173" s="4">
        <f t="shared" si="173"/>
        <v>28</v>
      </c>
      <c r="AA173" s="4">
        <f t="shared" si="173"/>
        <v>6</v>
      </c>
      <c r="AB173" s="4">
        <f t="shared" si="173"/>
        <v>7</v>
      </c>
      <c r="AC173" s="4">
        <f t="shared" si="173"/>
        <v>24</v>
      </c>
      <c r="AD173" s="4">
        <f t="shared" si="173"/>
        <v>31</v>
      </c>
      <c r="AE173" s="4">
        <f t="shared" si="173"/>
        <v>6</v>
      </c>
      <c r="AF173" s="4">
        <f t="shared" si="173"/>
        <v>12</v>
      </c>
      <c r="AG173" s="4">
        <f t="shared" si="173"/>
        <v>0</v>
      </c>
      <c r="AH173" s="4">
        <f t="shared" si="173"/>
        <v>0</v>
      </c>
    </row>
    <row r="174">
      <c r="A174" s="7">
        <v>173.0</v>
      </c>
      <c r="B174" s="16">
        <v>45379.0</v>
      </c>
      <c r="C174" s="7">
        <v>2024.0</v>
      </c>
      <c r="D174" s="7" t="s">
        <v>29</v>
      </c>
      <c r="E174" s="7" t="s">
        <v>30</v>
      </c>
      <c r="F174" s="7" t="s">
        <v>3</v>
      </c>
      <c r="G174" s="9">
        <f t="shared" si="174"/>
        <v>6</v>
      </c>
      <c r="H174" s="7" t="s">
        <v>28</v>
      </c>
      <c r="I174" s="7" t="s">
        <v>29</v>
      </c>
      <c r="J174" s="7" t="s">
        <v>28</v>
      </c>
      <c r="K174" s="7" t="s">
        <v>29</v>
      </c>
      <c r="L174" s="7" t="s">
        <v>29</v>
      </c>
      <c r="M174" s="7" t="s">
        <v>28</v>
      </c>
      <c r="N174" s="7" t="s">
        <v>28</v>
      </c>
      <c r="O174" s="7" t="s">
        <v>29</v>
      </c>
      <c r="P174" s="7" t="s">
        <v>28</v>
      </c>
      <c r="Q174" s="7" t="s">
        <v>29</v>
      </c>
      <c r="R174" s="7" t="s">
        <v>28</v>
      </c>
      <c r="S174" s="7" t="s">
        <v>29</v>
      </c>
      <c r="T174" s="13"/>
      <c r="V174" s="4">
        <f t="shared" ref="V174:AH174" si="175">COUNTIF($F$2:$F174,V$1)</f>
        <v>8</v>
      </c>
      <c r="W174" s="4">
        <f t="shared" si="175"/>
        <v>24</v>
      </c>
      <c r="X174" s="4">
        <f t="shared" si="175"/>
        <v>11</v>
      </c>
      <c r="Y174" s="4">
        <f t="shared" si="175"/>
        <v>15</v>
      </c>
      <c r="Z174" s="4">
        <f t="shared" si="175"/>
        <v>28</v>
      </c>
      <c r="AA174" s="4">
        <f t="shared" si="175"/>
        <v>6</v>
      </c>
      <c r="AB174" s="4">
        <f t="shared" si="175"/>
        <v>7</v>
      </c>
      <c r="AC174" s="4">
        <f t="shared" si="175"/>
        <v>24</v>
      </c>
      <c r="AD174" s="4">
        <f t="shared" si="175"/>
        <v>31</v>
      </c>
      <c r="AE174" s="4">
        <f t="shared" si="175"/>
        <v>6</v>
      </c>
      <c r="AF174" s="4">
        <f t="shared" si="175"/>
        <v>12</v>
      </c>
      <c r="AG174" s="4">
        <f t="shared" si="175"/>
        <v>0</v>
      </c>
      <c r="AH174" s="4">
        <f t="shared" si="175"/>
        <v>0</v>
      </c>
    </row>
    <row r="175">
      <c r="A175" s="7">
        <v>174.0</v>
      </c>
      <c r="B175" s="16">
        <v>45405.0</v>
      </c>
      <c r="C175" s="7">
        <v>2024.0</v>
      </c>
      <c r="D175" s="7" t="s">
        <v>28</v>
      </c>
      <c r="E175" s="7" t="s">
        <v>7</v>
      </c>
      <c r="F175" s="7" t="s">
        <v>8</v>
      </c>
      <c r="G175" s="9">
        <f t="shared" si="174"/>
        <v>9</v>
      </c>
      <c r="H175" s="7" t="s">
        <v>29</v>
      </c>
      <c r="I175" s="7" t="s">
        <v>29</v>
      </c>
      <c r="J175" s="7" t="s">
        <v>29</v>
      </c>
      <c r="K175" s="7" t="s">
        <v>29</v>
      </c>
      <c r="L175" s="7" t="s">
        <v>29</v>
      </c>
      <c r="M175" s="7" t="s">
        <v>29</v>
      </c>
      <c r="N175" s="7" t="s">
        <v>28</v>
      </c>
      <c r="O175" s="7" t="s">
        <v>29</v>
      </c>
      <c r="P175" s="7" t="s">
        <v>29</v>
      </c>
      <c r="Q175" s="7" t="s">
        <v>28</v>
      </c>
      <c r="R175" s="7" t="s">
        <v>29</v>
      </c>
      <c r="S175" s="7" t="s">
        <v>28</v>
      </c>
      <c r="T175" s="13"/>
      <c r="V175" s="4">
        <f t="shared" ref="V175:AH175" si="176">COUNTIF($F$2:$F175,V$1)</f>
        <v>8</v>
      </c>
      <c r="W175" s="4">
        <f t="shared" si="176"/>
        <v>24</v>
      </c>
      <c r="X175" s="4">
        <f t="shared" si="176"/>
        <v>11</v>
      </c>
      <c r="Y175" s="4">
        <f t="shared" si="176"/>
        <v>15</v>
      </c>
      <c r="Z175" s="4">
        <f t="shared" si="176"/>
        <v>28</v>
      </c>
      <c r="AA175" s="4">
        <f t="shared" si="176"/>
        <v>6</v>
      </c>
      <c r="AB175" s="4">
        <f t="shared" si="176"/>
        <v>7</v>
      </c>
      <c r="AC175" s="4">
        <f t="shared" si="176"/>
        <v>24</v>
      </c>
      <c r="AD175" s="4">
        <f t="shared" si="176"/>
        <v>32</v>
      </c>
      <c r="AE175" s="4">
        <f t="shared" si="176"/>
        <v>6</v>
      </c>
      <c r="AF175" s="4">
        <f t="shared" si="176"/>
        <v>12</v>
      </c>
      <c r="AG175" s="4">
        <f t="shared" si="176"/>
        <v>0</v>
      </c>
      <c r="AH175" s="4">
        <f t="shared" si="176"/>
        <v>0</v>
      </c>
    </row>
    <row r="176">
      <c r="A176" s="7">
        <v>175.0</v>
      </c>
      <c r="B176" s="16">
        <v>45433.0</v>
      </c>
      <c r="C176" s="7">
        <v>2024.0</v>
      </c>
      <c r="D176" s="7" t="s">
        <v>28</v>
      </c>
      <c r="E176" s="7" t="s">
        <v>0</v>
      </c>
      <c r="F176" s="7" t="s">
        <v>10</v>
      </c>
      <c r="G176" s="9">
        <f t="shared" si="174"/>
        <v>9</v>
      </c>
      <c r="H176" s="7" t="s">
        <v>29</v>
      </c>
      <c r="I176" s="7" t="s">
        <v>29</v>
      </c>
      <c r="J176" s="7" t="s">
        <v>28</v>
      </c>
      <c r="K176" s="7" t="s">
        <v>28</v>
      </c>
      <c r="L176" s="7" t="s">
        <v>29</v>
      </c>
      <c r="M176" s="7" t="s">
        <v>29</v>
      </c>
      <c r="N176" s="7" t="s">
        <v>28</v>
      </c>
      <c r="O176" s="7" t="s">
        <v>29</v>
      </c>
      <c r="P176" s="7" t="s">
        <v>29</v>
      </c>
      <c r="Q176" s="7" t="s">
        <v>29</v>
      </c>
      <c r="R176" s="7" t="s">
        <v>29</v>
      </c>
      <c r="S176" s="7" t="s">
        <v>29</v>
      </c>
      <c r="T176" s="13"/>
      <c r="V176" s="4">
        <f t="shared" ref="V176:AH176" si="177">COUNTIF($F$2:$F176,V$1)</f>
        <v>8</v>
      </c>
      <c r="W176" s="4">
        <f t="shared" si="177"/>
        <v>24</v>
      </c>
      <c r="X176" s="4">
        <f t="shared" si="177"/>
        <v>11</v>
      </c>
      <c r="Y176" s="4">
        <f t="shared" si="177"/>
        <v>15</v>
      </c>
      <c r="Z176" s="4">
        <f t="shared" si="177"/>
        <v>28</v>
      </c>
      <c r="AA176" s="4">
        <f t="shared" si="177"/>
        <v>6</v>
      </c>
      <c r="AB176" s="4">
        <f t="shared" si="177"/>
        <v>7</v>
      </c>
      <c r="AC176" s="4">
        <f t="shared" si="177"/>
        <v>24</v>
      </c>
      <c r="AD176" s="4">
        <f t="shared" si="177"/>
        <v>32</v>
      </c>
      <c r="AE176" s="4">
        <f t="shared" si="177"/>
        <v>6</v>
      </c>
      <c r="AF176" s="4">
        <f t="shared" si="177"/>
        <v>13</v>
      </c>
      <c r="AG176" s="4">
        <f t="shared" si="177"/>
        <v>0</v>
      </c>
      <c r="AH176" s="4">
        <f t="shared" si="177"/>
        <v>0</v>
      </c>
    </row>
    <row r="177">
      <c r="A177" s="7">
        <v>176.0</v>
      </c>
      <c r="B177" s="16">
        <v>45454.0</v>
      </c>
      <c r="C177" s="7">
        <v>2024.0</v>
      </c>
      <c r="D177" s="7" t="s">
        <v>28</v>
      </c>
      <c r="E177" s="7" t="s">
        <v>10</v>
      </c>
      <c r="F177" s="7" t="s">
        <v>7</v>
      </c>
      <c r="G177" s="9">
        <f t="shared" si="174"/>
        <v>5</v>
      </c>
      <c r="H177" s="7" t="s">
        <v>29</v>
      </c>
      <c r="I177" s="7" t="s">
        <v>29</v>
      </c>
      <c r="J177" s="7" t="s">
        <v>28</v>
      </c>
      <c r="K177" s="7" t="s">
        <v>28</v>
      </c>
      <c r="L177" s="7" t="s">
        <v>29</v>
      </c>
      <c r="M177" s="7" t="s">
        <v>28</v>
      </c>
      <c r="N177" s="7" t="s">
        <v>28</v>
      </c>
      <c r="O177" s="7" t="s">
        <v>29</v>
      </c>
      <c r="P177" s="7" t="s">
        <v>28</v>
      </c>
      <c r="Q177" s="7" t="s">
        <v>28</v>
      </c>
      <c r="R177" s="7" t="s">
        <v>29</v>
      </c>
      <c r="S177" s="7" t="s">
        <v>28</v>
      </c>
      <c r="T177" s="13"/>
      <c r="V177" s="4">
        <f t="shared" ref="V177:AH177" si="178">COUNTIF($F$2:$F177,V$1)</f>
        <v>8</v>
      </c>
      <c r="W177" s="4">
        <f t="shared" si="178"/>
        <v>24</v>
      </c>
      <c r="X177" s="4">
        <f t="shared" si="178"/>
        <v>11</v>
      </c>
      <c r="Y177" s="4">
        <f t="shared" si="178"/>
        <v>15</v>
      </c>
      <c r="Z177" s="4">
        <f t="shared" si="178"/>
        <v>28</v>
      </c>
      <c r="AA177" s="4">
        <f t="shared" si="178"/>
        <v>6</v>
      </c>
      <c r="AB177" s="4">
        <f t="shared" si="178"/>
        <v>7</v>
      </c>
      <c r="AC177" s="4">
        <f t="shared" si="178"/>
        <v>25</v>
      </c>
      <c r="AD177" s="4">
        <f t="shared" si="178"/>
        <v>32</v>
      </c>
      <c r="AE177" s="4">
        <f t="shared" si="178"/>
        <v>6</v>
      </c>
      <c r="AF177" s="4">
        <f t="shared" si="178"/>
        <v>13</v>
      </c>
      <c r="AG177" s="4">
        <f t="shared" si="178"/>
        <v>0</v>
      </c>
      <c r="AH177" s="4">
        <f t="shared" si="178"/>
        <v>0</v>
      </c>
    </row>
    <row r="178">
      <c r="A178" s="7">
        <v>177.0</v>
      </c>
      <c r="B178" s="8">
        <v>45502.0</v>
      </c>
      <c r="C178" s="7">
        <v>2024.0</v>
      </c>
      <c r="D178" s="7" t="s">
        <v>28</v>
      </c>
      <c r="E178" s="7" t="s">
        <v>9</v>
      </c>
      <c r="F178" s="7" t="s">
        <v>7</v>
      </c>
      <c r="G178" s="9">
        <f t="shared" si="174"/>
        <v>7</v>
      </c>
      <c r="H178" s="7" t="s">
        <v>29</v>
      </c>
      <c r="I178" s="7" t="s">
        <v>29</v>
      </c>
      <c r="J178" s="7" t="s">
        <v>29</v>
      </c>
      <c r="K178" s="7" t="s">
        <v>28</v>
      </c>
      <c r="L178" s="7" t="s">
        <v>28</v>
      </c>
      <c r="M178" s="7" t="s">
        <v>29</v>
      </c>
      <c r="N178" s="7" t="s">
        <v>28</v>
      </c>
      <c r="O178" s="7" t="s">
        <v>29</v>
      </c>
      <c r="P178" s="7" t="s">
        <v>28</v>
      </c>
      <c r="Q178" s="7" t="s">
        <v>29</v>
      </c>
      <c r="R178" s="7" t="s">
        <v>28</v>
      </c>
      <c r="S178" s="7" t="s">
        <v>29</v>
      </c>
      <c r="T178" s="13"/>
      <c r="V178" s="4">
        <f t="shared" ref="V178:AH178" si="179">COUNTIF($F$2:$F178,V$1)</f>
        <v>8</v>
      </c>
      <c r="W178" s="4">
        <f t="shared" si="179"/>
        <v>24</v>
      </c>
      <c r="X178" s="4">
        <f t="shared" si="179"/>
        <v>11</v>
      </c>
      <c r="Y178" s="4">
        <f t="shared" si="179"/>
        <v>15</v>
      </c>
      <c r="Z178" s="4">
        <f t="shared" si="179"/>
        <v>28</v>
      </c>
      <c r="AA178" s="4">
        <f t="shared" si="179"/>
        <v>6</v>
      </c>
      <c r="AB178" s="4">
        <f t="shared" si="179"/>
        <v>7</v>
      </c>
      <c r="AC178" s="4">
        <f t="shared" si="179"/>
        <v>26</v>
      </c>
      <c r="AD178" s="4">
        <f t="shared" si="179"/>
        <v>32</v>
      </c>
      <c r="AE178" s="4">
        <f t="shared" si="179"/>
        <v>6</v>
      </c>
      <c r="AF178" s="4">
        <f t="shared" si="179"/>
        <v>13</v>
      </c>
      <c r="AG178" s="4">
        <f t="shared" si="179"/>
        <v>0</v>
      </c>
      <c r="AH178" s="4">
        <f t="shared" si="179"/>
        <v>0</v>
      </c>
    </row>
    <row r="179">
      <c r="A179" s="7">
        <v>178.0</v>
      </c>
      <c r="B179" s="8">
        <v>45530.0</v>
      </c>
      <c r="C179" s="7">
        <v>2024.0</v>
      </c>
      <c r="D179" s="7" t="s">
        <v>28</v>
      </c>
      <c r="E179" s="7" t="s">
        <v>2</v>
      </c>
      <c r="F179" s="7" t="s">
        <v>7</v>
      </c>
      <c r="G179" s="9">
        <f t="shared" si="174"/>
        <v>10</v>
      </c>
      <c r="H179" s="7" t="s">
        <v>29</v>
      </c>
      <c r="I179" s="7" t="s">
        <v>29</v>
      </c>
      <c r="J179" s="7" t="s">
        <v>29</v>
      </c>
      <c r="K179" s="7" t="s">
        <v>29</v>
      </c>
      <c r="L179" s="7" t="s">
        <v>29</v>
      </c>
      <c r="M179" s="7" t="s">
        <v>29</v>
      </c>
      <c r="N179" s="7" t="s">
        <v>28</v>
      </c>
      <c r="O179" s="7" t="s">
        <v>29</v>
      </c>
      <c r="P179" s="7" t="s">
        <v>29</v>
      </c>
      <c r="Q179" s="7" t="s">
        <v>29</v>
      </c>
      <c r="R179" s="7" t="s">
        <v>29</v>
      </c>
      <c r="S179" s="7" t="s">
        <v>28</v>
      </c>
      <c r="T179" s="13"/>
      <c r="V179" s="4">
        <f t="shared" ref="V179:AH179" si="180">COUNTIF($F$2:$F179,V$1)</f>
        <v>8</v>
      </c>
      <c r="W179" s="4">
        <f t="shared" si="180"/>
        <v>24</v>
      </c>
      <c r="X179" s="4">
        <f t="shared" si="180"/>
        <v>11</v>
      </c>
      <c r="Y179" s="4">
        <f t="shared" si="180"/>
        <v>15</v>
      </c>
      <c r="Z179" s="4">
        <f t="shared" si="180"/>
        <v>28</v>
      </c>
      <c r="AA179" s="4">
        <f t="shared" si="180"/>
        <v>6</v>
      </c>
      <c r="AB179" s="4">
        <f t="shared" si="180"/>
        <v>7</v>
      </c>
      <c r="AC179" s="4">
        <f t="shared" si="180"/>
        <v>27</v>
      </c>
      <c r="AD179" s="4">
        <f t="shared" si="180"/>
        <v>32</v>
      </c>
      <c r="AE179" s="4">
        <f t="shared" si="180"/>
        <v>6</v>
      </c>
      <c r="AF179" s="4">
        <f t="shared" si="180"/>
        <v>13</v>
      </c>
      <c r="AG179" s="4">
        <f t="shared" si="180"/>
        <v>0</v>
      </c>
      <c r="AH179" s="4">
        <f t="shared" si="180"/>
        <v>0</v>
      </c>
    </row>
    <row r="180">
      <c r="A180" s="7">
        <v>179.0</v>
      </c>
      <c r="B180" s="8">
        <v>45561.0</v>
      </c>
      <c r="C180" s="7">
        <v>2024.0</v>
      </c>
      <c r="D180" s="7" t="s">
        <v>28</v>
      </c>
      <c r="E180" s="7" t="s">
        <v>4</v>
      </c>
      <c r="F180" s="7" t="s">
        <v>1</v>
      </c>
      <c r="G180" s="9">
        <f t="shared" si="174"/>
        <v>8</v>
      </c>
      <c r="H180" s="7" t="s">
        <v>29</v>
      </c>
      <c r="I180" s="7" t="s">
        <v>29</v>
      </c>
      <c r="J180" s="7" t="s">
        <v>28</v>
      </c>
      <c r="K180" s="7" t="s">
        <v>29</v>
      </c>
      <c r="L180" s="7" t="s">
        <v>29</v>
      </c>
      <c r="M180" s="7" t="s">
        <v>29</v>
      </c>
      <c r="N180" s="7" t="s">
        <v>28</v>
      </c>
      <c r="O180" s="7" t="s">
        <v>29</v>
      </c>
      <c r="P180" s="7" t="s">
        <v>29</v>
      </c>
      <c r="Q180" s="7" t="s">
        <v>28</v>
      </c>
      <c r="R180" s="7" t="s">
        <v>29</v>
      </c>
      <c r="S180" s="7" t="s">
        <v>28</v>
      </c>
      <c r="T180" s="13"/>
      <c r="V180" s="4">
        <f t="shared" ref="V180:AH180" si="181">COUNTIF($F$2:$F180,V$1)</f>
        <v>8</v>
      </c>
      <c r="W180" s="4">
        <f t="shared" si="181"/>
        <v>25</v>
      </c>
      <c r="X180" s="4">
        <f t="shared" si="181"/>
        <v>11</v>
      </c>
      <c r="Y180" s="4">
        <f t="shared" si="181"/>
        <v>15</v>
      </c>
      <c r="Z180" s="4">
        <f t="shared" si="181"/>
        <v>28</v>
      </c>
      <c r="AA180" s="4">
        <f t="shared" si="181"/>
        <v>6</v>
      </c>
      <c r="AB180" s="4">
        <f t="shared" si="181"/>
        <v>7</v>
      </c>
      <c r="AC180" s="4">
        <f t="shared" si="181"/>
        <v>27</v>
      </c>
      <c r="AD180" s="4">
        <f t="shared" si="181"/>
        <v>32</v>
      </c>
      <c r="AE180" s="4">
        <f t="shared" si="181"/>
        <v>6</v>
      </c>
      <c r="AF180" s="4">
        <f t="shared" si="181"/>
        <v>13</v>
      </c>
      <c r="AG180" s="4">
        <f t="shared" si="181"/>
        <v>0</v>
      </c>
      <c r="AH180" s="4">
        <f t="shared" si="181"/>
        <v>0</v>
      </c>
    </row>
    <row r="181">
      <c r="A181" s="7">
        <v>180.0</v>
      </c>
      <c r="B181" s="8">
        <v>45589.0</v>
      </c>
      <c r="C181" s="7">
        <v>2024.0</v>
      </c>
      <c r="D181" s="7" t="s">
        <v>28</v>
      </c>
      <c r="E181" s="7" t="s">
        <v>5</v>
      </c>
      <c r="F181" s="7" t="s">
        <v>8</v>
      </c>
      <c r="G181" s="9">
        <f t="shared" si="174"/>
        <v>7</v>
      </c>
      <c r="H181" s="7" t="s">
        <v>29</v>
      </c>
      <c r="I181" s="7" t="s">
        <v>28</v>
      </c>
      <c r="J181" s="7" t="s">
        <v>28</v>
      </c>
      <c r="K181" s="7" t="s">
        <v>29</v>
      </c>
      <c r="L181" s="7" t="s">
        <v>29</v>
      </c>
      <c r="M181" s="7" t="s">
        <v>29</v>
      </c>
      <c r="N181" s="7" t="s">
        <v>28</v>
      </c>
      <c r="O181" s="7" t="s">
        <v>29</v>
      </c>
      <c r="P181" s="7" t="s">
        <v>29</v>
      </c>
      <c r="Q181" s="7" t="s">
        <v>28</v>
      </c>
      <c r="R181" s="7" t="s">
        <v>29</v>
      </c>
      <c r="S181" s="7" t="s">
        <v>28</v>
      </c>
      <c r="T181" s="13"/>
      <c r="V181" s="4">
        <f t="shared" ref="V181:AH181" si="182">COUNTIF($F$2:$F181,V$1)</f>
        <v>8</v>
      </c>
      <c r="W181" s="4">
        <f t="shared" si="182"/>
        <v>25</v>
      </c>
      <c r="X181" s="4">
        <f t="shared" si="182"/>
        <v>11</v>
      </c>
      <c r="Y181" s="4">
        <f t="shared" si="182"/>
        <v>15</v>
      </c>
      <c r="Z181" s="4">
        <f t="shared" si="182"/>
        <v>28</v>
      </c>
      <c r="AA181" s="4">
        <f t="shared" si="182"/>
        <v>6</v>
      </c>
      <c r="AB181" s="4">
        <f t="shared" si="182"/>
        <v>7</v>
      </c>
      <c r="AC181" s="4">
        <f t="shared" si="182"/>
        <v>27</v>
      </c>
      <c r="AD181" s="4">
        <f t="shared" si="182"/>
        <v>33</v>
      </c>
      <c r="AE181" s="4">
        <f t="shared" si="182"/>
        <v>6</v>
      </c>
      <c r="AF181" s="4">
        <f t="shared" si="182"/>
        <v>13</v>
      </c>
      <c r="AG181" s="4">
        <f t="shared" si="182"/>
        <v>0</v>
      </c>
      <c r="AH181" s="4">
        <f t="shared" si="182"/>
        <v>0</v>
      </c>
    </row>
    <row r="182">
      <c r="A182" s="7">
        <v>181.0</v>
      </c>
      <c r="B182" s="8">
        <v>45600.0</v>
      </c>
      <c r="C182" s="7">
        <v>2024.0</v>
      </c>
      <c r="D182" s="7" t="s">
        <v>28</v>
      </c>
      <c r="E182" s="7" t="s">
        <v>3</v>
      </c>
      <c r="F182" s="7" t="s">
        <v>10</v>
      </c>
      <c r="G182" s="9">
        <f t="shared" si="174"/>
        <v>10</v>
      </c>
      <c r="H182" s="7" t="s">
        <v>29</v>
      </c>
      <c r="I182" s="7" t="s">
        <v>29</v>
      </c>
      <c r="J182" s="7" t="s">
        <v>28</v>
      </c>
      <c r="K182" s="7" t="s">
        <v>29</v>
      </c>
      <c r="L182" s="7" t="s">
        <v>29</v>
      </c>
      <c r="M182" s="7" t="s">
        <v>29</v>
      </c>
      <c r="N182" s="7" t="s">
        <v>28</v>
      </c>
      <c r="O182" s="7" t="s">
        <v>29</v>
      </c>
      <c r="P182" s="7" t="s">
        <v>29</v>
      </c>
      <c r="Q182" s="7" t="s">
        <v>29</v>
      </c>
      <c r="R182" s="7" t="s">
        <v>29</v>
      </c>
      <c r="S182" s="7" t="s">
        <v>29</v>
      </c>
      <c r="T182" s="13"/>
      <c r="V182" s="4">
        <f t="shared" ref="V182:AH182" si="183">COUNTIF($F$2:$F182,V$1)</f>
        <v>8</v>
      </c>
      <c r="W182" s="4">
        <f t="shared" si="183"/>
        <v>25</v>
      </c>
      <c r="X182" s="4">
        <f t="shared" si="183"/>
        <v>11</v>
      </c>
      <c r="Y182" s="4">
        <f t="shared" si="183"/>
        <v>15</v>
      </c>
      <c r="Z182" s="4">
        <f t="shared" si="183"/>
        <v>28</v>
      </c>
      <c r="AA182" s="4">
        <f t="shared" si="183"/>
        <v>6</v>
      </c>
      <c r="AB182" s="4">
        <f t="shared" si="183"/>
        <v>7</v>
      </c>
      <c r="AC182" s="4">
        <f t="shared" si="183"/>
        <v>27</v>
      </c>
      <c r="AD182" s="4">
        <f t="shared" si="183"/>
        <v>33</v>
      </c>
      <c r="AE182" s="4">
        <f t="shared" si="183"/>
        <v>6</v>
      </c>
      <c r="AF182" s="4">
        <f t="shared" si="183"/>
        <v>14</v>
      </c>
      <c r="AG182" s="4">
        <f t="shared" si="183"/>
        <v>0</v>
      </c>
      <c r="AH182" s="4">
        <f t="shared" si="183"/>
        <v>0</v>
      </c>
    </row>
    <row r="183">
      <c r="A183" s="7">
        <v>182.0</v>
      </c>
      <c r="B183" s="8">
        <v>45629.0</v>
      </c>
      <c r="C183" s="7">
        <v>2024.0</v>
      </c>
      <c r="D183" s="7" t="s">
        <v>29</v>
      </c>
      <c r="E183" s="7" t="s">
        <v>25</v>
      </c>
      <c r="F183" s="7" t="s">
        <v>1</v>
      </c>
      <c r="G183" s="9">
        <f t="shared" si="174"/>
        <v>9</v>
      </c>
      <c r="H183" s="7" t="s">
        <v>29</v>
      </c>
      <c r="I183" s="7" t="s">
        <v>29</v>
      </c>
      <c r="J183" s="7" t="s">
        <v>28</v>
      </c>
      <c r="K183" s="7" t="s">
        <v>29</v>
      </c>
      <c r="L183" s="7" t="s">
        <v>29</v>
      </c>
      <c r="M183" s="7" t="s">
        <v>29</v>
      </c>
      <c r="N183" s="7" t="s">
        <v>28</v>
      </c>
      <c r="O183" s="7" t="s">
        <v>29</v>
      </c>
      <c r="P183" s="7" t="s">
        <v>29</v>
      </c>
      <c r="Q183" s="7" t="s">
        <v>28</v>
      </c>
      <c r="R183" s="7" t="s">
        <v>29</v>
      </c>
      <c r="S183" s="7" t="s">
        <v>29</v>
      </c>
      <c r="T183" s="13"/>
      <c r="V183" s="4">
        <f t="shared" ref="V183:AH183" si="184">COUNTIF($F$2:$F183,V$1)</f>
        <v>8</v>
      </c>
      <c r="W183" s="4">
        <f t="shared" si="184"/>
        <v>26</v>
      </c>
      <c r="X183" s="4">
        <f t="shared" si="184"/>
        <v>11</v>
      </c>
      <c r="Y183" s="4">
        <f t="shared" si="184"/>
        <v>15</v>
      </c>
      <c r="Z183" s="4">
        <f t="shared" si="184"/>
        <v>28</v>
      </c>
      <c r="AA183" s="4">
        <f t="shared" si="184"/>
        <v>6</v>
      </c>
      <c r="AB183" s="4">
        <f t="shared" si="184"/>
        <v>7</v>
      </c>
      <c r="AC183" s="4">
        <f t="shared" si="184"/>
        <v>27</v>
      </c>
      <c r="AD183" s="4">
        <f t="shared" si="184"/>
        <v>33</v>
      </c>
      <c r="AE183" s="4">
        <f t="shared" si="184"/>
        <v>6</v>
      </c>
      <c r="AF183" s="4">
        <f t="shared" si="184"/>
        <v>14</v>
      </c>
      <c r="AG183" s="4">
        <f t="shared" si="184"/>
        <v>0</v>
      </c>
      <c r="AH183" s="4">
        <f t="shared" si="184"/>
        <v>0</v>
      </c>
    </row>
    <row r="184">
      <c r="A184" s="7">
        <v>183.0</v>
      </c>
      <c r="B184" s="8">
        <v>45673.0</v>
      </c>
      <c r="C184" s="7">
        <v>2025.0</v>
      </c>
      <c r="D184" s="7" t="s">
        <v>28</v>
      </c>
      <c r="E184" s="7" t="s">
        <v>8</v>
      </c>
      <c r="F184" s="7" t="s">
        <v>5</v>
      </c>
      <c r="G184" s="9">
        <f t="shared" si="174"/>
        <v>10</v>
      </c>
      <c r="H184" s="7" t="s">
        <v>29</v>
      </c>
      <c r="I184" s="7" t="s">
        <v>29</v>
      </c>
      <c r="J184" s="7" t="s">
        <v>29</v>
      </c>
      <c r="K184" s="7" t="s">
        <v>29</v>
      </c>
      <c r="L184" s="7" t="s">
        <v>29</v>
      </c>
      <c r="M184" s="7" t="s">
        <v>29</v>
      </c>
      <c r="N184" s="7" t="s">
        <v>28</v>
      </c>
      <c r="O184" s="7" t="s">
        <v>29</v>
      </c>
      <c r="P184" s="7" t="s">
        <v>29</v>
      </c>
      <c r="Q184" s="7" t="s">
        <v>28</v>
      </c>
      <c r="R184" s="7" t="s">
        <v>29</v>
      </c>
      <c r="S184" s="7" t="s">
        <v>29</v>
      </c>
      <c r="T184" s="13"/>
      <c r="V184" s="4">
        <f t="shared" ref="V184:AH184" si="185">COUNTIF($F$2:$F184,V$1)</f>
        <v>8</v>
      </c>
      <c r="W184" s="4">
        <f t="shared" si="185"/>
        <v>26</v>
      </c>
      <c r="X184" s="4">
        <f t="shared" si="185"/>
        <v>11</v>
      </c>
      <c r="Y184" s="4">
        <f t="shared" si="185"/>
        <v>15</v>
      </c>
      <c r="Z184" s="4">
        <f t="shared" si="185"/>
        <v>28</v>
      </c>
      <c r="AA184" s="4">
        <f t="shared" si="185"/>
        <v>7</v>
      </c>
      <c r="AB184" s="4">
        <f t="shared" si="185"/>
        <v>7</v>
      </c>
      <c r="AC184" s="4">
        <f t="shared" si="185"/>
        <v>27</v>
      </c>
      <c r="AD184" s="4">
        <f t="shared" si="185"/>
        <v>33</v>
      </c>
      <c r="AE184" s="4">
        <f t="shared" si="185"/>
        <v>6</v>
      </c>
      <c r="AF184" s="4">
        <f t="shared" si="185"/>
        <v>14</v>
      </c>
      <c r="AG184" s="4">
        <f t="shared" si="185"/>
        <v>0</v>
      </c>
      <c r="AH184" s="4">
        <f t="shared" si="185"/>
        <v>0</v>
      </c>
    </row>
    <row r="185">
      <c r="A185" s="7">
        <v>184.0</v>
      </c>
      <c r="B185" s="8">
        <v>45712.0</v>
      </c>
      <c r="C185" s="7">
        <v>2025.0</v>
      </c>
      <c r="D185" s="7" t="s">
        <v>28</v>
      </c>
      <c r="E185" s="7" t="s">
        <v>1</v>
      </c>
      <c r="F185" s="7" t="s">
        <v>3</v>
      </c>
      <c r="G185" s="9">
        <f t="shared" si="174"/>
        <v>6</v>
      </c>
      <c r="H185" s="7" t="s">
        <v>29</v>
      </c>
      <c r="I185" s="7" t="s">
        <v>29</v>
      </c>
      <c r="J185" s="7" t="s">
        <v>28</v>
      </c>
      <c r="K185" s="7" t="s">
        <v>29</v>
      </c>
      <c r="L185" s="7" t="s">
        <v>29</v>
      </c>
      <c r="M185" s="7" t="s">
        <v>28</v>
      </c>
      <c r="N185" s="9"/>
      <c r="O185" s="7" t="s">
        <v>29</v>
      </c>
      <c r="P185" s="7" t="s">
        <v>29</v>
      </c>
      <c r="Q185" s="7" t="s">
        <v>28</v>
      </c>
      <c r="R185" s="7" t="s">
        <v>28</v>
      </c>
      <c r="S185" s="7" t="s">
        <v>28</v>
      </c>
      <c r="T185" s="13"/>
      <c r="V185" s="4">
        <f t="shared" ref="V185:AH185" si="186">COUNTIF($F$2:$F185,V$1)</f>
        <v>8</v>
      </c>
      <c r="W185" s="4">
        <f t="shared" si="186"/>
        <v>26</v>
      </c>
      <c r="X185" s="4">
        <f t="shared" si="186"/>
        <v>11</v>
      </c>
      <c r="Y185" s="4">
        <f t="shared" si="186"/>
        <v>16</v>
      </c>
      <c r="Z185" s="4">
        <f t="shared" si="186"/>
        <v>28</v>
      </c>
      <c r="AA185" s="4">
        <f t="shared" si="186"/>
        <v>7</v>
      </c>
      <c r="AB185" s="4">
        <f t="shared" si="186"/>
        <v>7</v>
      </c>
      <c r="AC185" s="4">
        <f t="shared" si="186"/>
        <v>27</v>
      </c>
      <c r="AD185" s="4">
        <f t="shared" si="186"/>
        <v>33</v>
      </c>
      <c r="AE185" s="4">
        <f t="shared" si="186"/>
        <v>6</v>
      </c>
      <c r="AF185" s="4">
        <f t="shared" si="186"/>
        <v>14</v>
      </c>
      <c r="AG185" s="4">
        <f t="shared" si="186"/>
        <v>0</v>
      </c>
      <c r="AH185" s="4">
        <f t="shared" si="186"/>
        <v>0</v>
      </c>
    </row>
    <row r="186">
      <c r="A186" s="7">
        <v>185.0</v>
      </c>
      <c r="B186" s="8">
        <v>45736.0</v>
      </c>
      <c r="C186" s="7">
        <v>2025.0</v>
      </c>
      <c r="D186" s="7" t="s">
        <v>28</v>
      </c>
      <c r="E186" s="7" t="s">
        <v>7</v>
      </c>
      <c r="F186" s="7" t="s">
        <v>1</v>
      </c>
      <c r="G186" s="9">
        <f t="shared" ref="G186:G201" si="188">countif(H186:T186,"Yes")</f>
        <v>7</v>
      </c>
      <c r="H186" s="7" t="s">
        <v>29</v>
      </c>
      <c r="I186" s="7" t="s">
        <v>29</v>
      </c>
      <c r="J186" s="7" t="s">
        <v>28</v>
      </c>
      <c r="K186" s="7" t="s">
        <v>29</v>
      </c>
      <c r="L186" s="7" t="s">
        <v>29</v>
      </c>
      <c r="M186" s="7" t="s">
        <v>28</v>
      </c>
      <c r="N186" s="9"/>
      <c r="O186" s="7" t="s">
        <v>29</v>
      </c>
      <c r="P186" s="7" t="s">
        <v>29</v>
      </c>
      <c r="Q186" s="7" t="s">
        <v>28</v>
      </c>
      <c r="R186" s="7" t="s">
        <v>29</v>
      </c>
      <c r="S186" s="7" t="s">
        <v>28</v>
      </c>
      <c r="T186" s="13"/>
      <c r="V186" s="4">
        <f t="shared" ref="V186:AH186" si="187">COUNTIF($F$2:$F186,V$1)</f>
        <v>8</v>
      </c>
      <c r="W186" s="4">
        <f t="shared" si="187"/>
        <v>27</v>
      </c>
      <c r="X186" s="4">
        <f t="shared" si="187"/>
        <v>11</v>
      </c>
      <c r="Y186" s="4">
        <f t="shared" si="187"/>
        <v>16</v>
      </c>
      <c r="Z186" s="4">
        <f t="shared" si="187"/>
        <v>28</v>
      </c>
      <c r="AA186" s="4">
        <f t="shared" si="187"/>
        <v>7</v>
      </c>
      <c r="AB186" s="4">
        <f t="shared" si="187"/>
        <v>7</v>
      </c>
      <c r="AC186" s="4">
        <f t="shared" si="187"/>
        <v>27</v>
      </c>
      <c r="AD186" s="4">
        <f t="shared" si="187"/>
        <v>33</v>
      </c>
      <c r="AE186" s="4">
        <f t="shared" si="187"/>
        <v>6</v>
      </c>
      <c r="AF186" s="4">
        <f t="shared" si="187"/>
        <v>14</v>
      </c>
      <c r="AG186" s="4">
        <f t="shared" si="187"/>
        <v>0</v>
      </c>
      <c r="AH186" s="4">
        <f t="shared" si="187"/>
        <v>0</v>
      </c>
    </row>
    <row r="187">
      <c r="A187" s="7">
        <v>186.0</v>
      </c>
      <c r="B187" s="8">
        <v>45764.0</v>
      </c>
      <c r="C187" s="7">
        <v>2025.0</v>
      </c>
      <c r="D187" s="7" t="s">
        <v>29</v>
      </c>
      <c r="E187" s="7" t="s">
        <v>30</v>
      </c>
      <c r="F187" s="7" t="s">
        <v>4</v>
      </c>
      <c r="G187" s="9">
        <f t="shared" si="188"/>
        <v>5</v>
      </c>
      <c r="H187" s="7" t="s">
        <v>28</v>
      </c>
      <c r="I187" s="7" t="s">
        <v>29</v>
      </c>
      <c r="J187" s="7" t="s">
        <v>28</v>
      </c>
      <c r="K187" s="7" t="s">
        <v>29</v>
      </c>
      <c r="L187" s="7" t="s">
        <v>29</v>
      </c>
      <c r="M187" s="7" t="s">
        <v>28</v>
      </c>
      <c r="N187" s="9"/>
      <c r="O187" s="7" t="s">
        <v>29</v>
      </c>
      <c r="P187" s="7" t="s">
        <v>28</v>
      </c>
      <c r="Q187" s="7" t="s">
        <v>28</v>
      </c>
      <c r="R187" s="7" t="s">
        <v>28</v>
      </c>
      <c r="S187" s="7" t="s">
        <v>28</v>
      </c>
      <c r="T187" s="7" t="s">
        <v>29</v>
      </c>
      <c r="V187" s="4">
        <f t="shared" ref="V187:AH187" si="189">COUNTIF($F$2:$F187,V$1)</f>
        <v>8</v>
      </c>
      <c r="W187" s="4">
        <f t="shared" si="189"/>
        <v>27</v>
      </c>
      <c r="X187" s="4">
        <f t="shared" si="189"/>
        <v>11</v>
      </c>
      <c r="Y187" s="4">
        <f t="shared" si="189"/>
        <v>16</v>
      </c>
      <c r="Z187" s="4">
        <f t="shared" si="189"/>
        <v>29</v>
      </c>
      <c r="AA187" s="4">
        <f t="shared" si="189"/>
        <v>7</v>
      </c>
      <c r="AB187" s="4">
        <f t="shared" si="189"/>
        <v>7</v>
      </c>
      <c r="AC187" s="4">
        <f t="shared" si="189"/>
        <v>27</v>
      </c>
      <c r="AD187" s="4">
        <f t="shared" si="189"/>
        <v>33</v>
      </c>
      <c r="AE187" s="4">
        <f t="shared" si="189"/>
        <v>6</v>
      </c>
      <c r="AF187" s="4">
        <f t="shared" si="189"/>
        <v>14</v>
      </c>
      <c r="AG187" s="4">
        <f t="shared" si="189"/>
        <v>0</v>
      </c>
      <c r="AH187" s="4">
        <f t="shared" si="189"/>
        <v>0</v>
      </c>
    </row>
    <row r="188">
      <c r="A188" s="7">
        <v>187.0</v>
      </c>
      <c r="B188" s="8">
        <v>45797.0</v>
      </c>
      <c r="C188" s="7">
        <v>2025.0</v>
      </c>
      <c r="D188" s="7" t="s">
        <v>28</v>
      </c>
      <c r="E188" s="7" t="s">
        <v>0</v>
      </c>
      <c r="F188" s="7" t="s">
        <v>1</v>
      </c>
      <c r="G188" s="9">
        <f t="shared" si="188"/>
        <v>8</v>
      </c>
      <c r="H188" s="7" t="s">
        <v>29</v>
      </c>
      <c r="I188" s="7" t="s">
        <v>29</v>
      </c>
      <c r="J188" s="7" t="s">
        <v>28</v>
      </c>
      <c r="K188" s="7" t="s">
        <v>28</v>
      </c>
      <c r="L188" s="7" t="s">
        <v>29</v>
      </c>
      <c r="M188" s="7" t="s">
        <v>29</v>
      </c>
      <c r="N188" s="9"/>
      <c r="O188" s="7" t="s">
        <v>29</v>
      </c>
      <c r="P188" s="7" t="s">
        <v>29</v>
      </c>
      <c r="Q188" s="7" t="s">
        <v>28</v>
      </c>
      <c r="R188" s="7" t="s">
        <v>29</v>
      </c>
      <c r="S188" s="7" t="s">
        <v>28</v>
      </c>
      <c r="T188" s="7" t="s">
        <v>29</v>
      </c>
      <c r="V188" s="4">
        <f t="shared" ref="V188:AH188" si="190">COUNTIF($F$2:$F188,V$1)</f>
        <v>8</v>
      </c>
      <c r="W188" s="4">
        <f t="shared" si="190"/>
        <v>28</v>
      </c>
      <c r="X188" s="4">
        <f t="shared" si="190"/>
        <v>11</v>
      </c>
      <c r="Y188" s="4">
        <f t="shared" si="190"/>
        <v>16</v>
      </c>
      <c r="Z188" s="4">
        <f t="shared" si="190"/>
        <v>29</v>
      </c>
      <c r="AA188" s="4">
        <f t="shared" si="190"/>
        <v>7</v>
      </c>
      <c r="AB188" s="4">
        <f t="shared" si="190"/>
        <v>7</v>
      </c>
      <c r="AC188" s="4">
        <f t="shared" si="190"/>
        <v>27</v>
      </c>
      <c r="AD188" s="4">
        <f t="shared" si="190"/>
        <v>33</v>
      </c>
      <c r="AE188" s="4">
        <f t="shared" si="190"/>
        <v>6</v>
      </c>
      <c r="AF188" s="4">
        <f t="shared" si="190"/>
        <v>14</v>
      </c>
      <c r="AG188" s="4">
        <f t="shared" si="190"/>
        <v>0</v>
      </c>
      <c r="AH188" s="4">
        <f t="shared" si="190"/>
        <v>0</v>
      </c>
    </row>
    <row r="189">
      <c r="A189" s="7">
        <v>188.0</v>
      </c>
      <c r="B189" s="8">
        <v>45818.0</v>
      </c>
      <c r="C189" s="7">
        <v>2025.0</v>
      </c>
      <c r="D189" s="7" t="s">
        <v>28</v>
      </c>
      <c r="E189" s="7" t="s">
        <v>10</v>
      </c>
      <c r="F189" s="7" t="s">
        <v>7</v>
      </c>
      <c r="G189" s="9">
        <f t="shared" si="188"/>
        <v>10</v>
      </c>
      <c r="H189" s="7" t="s">
        <v>29</v>
      </c>
      <c r="I189" s="7" t="s">
        <v>29</v>
      </c>
      <c r="J189" s="7" t="s">
        <v>28</v>
      </c>
      <c r="K189" s="7" t="s">
        <v>29</v>
      </c>
      <c r="L189" s="7" t="s">
        <v>29</v>
      </c>
      <c r="M189" s="7" t="s">
        <v>29</v>
      </c>
      <c r="N189" s="9"/>
      <c r="O189" s="7" t="s">
        <v>29</v>
      </c>
      <c r="P189" s="7" t="s">
        <v>29</v>
      </c>
      <c r="Q189" s="7" t="s">
        <v>28</v>
      </c>
      <c r="R189" s="7" t="s">
        <v>29</v>
      </c>
      <c r="S189" s="7" t="s">
        <v>29</v>
      </c>
      <c r="T189" s="7" t="s">
        <v>29</v>
      </c>
      <c r="V189" s="4">
        <f t="shared" ref="V189:AH189" si="191">COUNTIF($F$2:$F189,V$1)</f>
        <v>8</v>
      </c>
      <c r="W189" s="4">
        <f t="shared" si="191"/>
        <v>28</v>
      </c>
      <c r="X189" s="4">
        <f t="shared" si="191"/>
        <v>11</v>
      </c>
      <c r="Y189" s="4">
        <f t="shared" si="191"/>
        <v>16</v>
      </c>
      <c r="Z189" s="4">
        <f t="shared" si="191"/>
        <v>29</v>
      </c>
      <c r="AA189" s="4">
        <f t="shared" si="191"/>
        <v>7</v>
      </c>
      <c r="AB189" s="4">
        <f t="shared" si="191"/>
        <v>7</v>
      </c>
      <c r="AC189" s="4">
        <f t="shared" si="191"/>
        <v>28</v>
      </c>
      <c r="AD189" s="4">
        <f t="shared" si="191"/>
        <v>33</v>
      </c>
      <c r="AE189" s="4">
        <f t="shared" si="191"/>
        <v>6</v>
      </c>
      <c r="AF189" s="4">
        <f t="shared" si="191"/>
        <v>14</v>
      </c>
      <c r="AG189" s="4">
        <f t="shared" si="191"/>
        <v>0</v>
      </c>
      <c r="AH189" s="4">
        <f t="shared" si="191"/>
        <v>0</v>
      </c>
    </row>
    <row r="190">
      <c r="A190" s="7">
        <v>189.0</v>
      </c>
      <c r="B190" s="8">
        <v>45847.0</v>
      </c>
      <c r="C190" s="7">
        <v>2025.0</v>
      </c>
      <c r="D190" s="7" t="s">
        <v>28</v>
      </c>
      <c r="E190" s="7" t="s">
        <v>9</v>
      </c>
      <c r="F190" s="7" t="s">
        <v>9</v>
      </c>
      <c r="G190" s="9">
        <f t="shared" si="188"/>
        <v>8</v>
      </c>
      <c r="H190" s="7" t="s">
        <v>29</v>
      </c>
      <c r="I190" s="7" t="s">
        <v>29</v>
      </c>
      <c r="J190" s="7" t="s">
        <v>28</v>
      </c>
      <c r="K190" s="7" t="s">
        <v>28</v>
      </c>
      <c r="L190" s="7" t="s">
        <v>29</v>
      </c>
      <c r="M190" s="7" t="s">
        <v>28</v>
      </c>
      <c r="N190" s="9"/>
      <c r="O190" s="7" t="s">
        <v>29</v>
      </c>
      <c r="P190" s="7" t="s">
        <v>29</v>
      </c>
      <c r="Q190" s="7" t="s">
        <v>29</v>
      </c>
      <c r="R190" s="7" t="s">
        <v>28</v>
      </c>
      <c r="S190" s="7" t="s">
        <v>29</v>
      </c>
      <c r="T190" s="7" t="s">
        <v>29</v>
      </c>
      <c r="V190" s="4">
        <f t="shared" ref="V190:AH190" si="192">COUNTIF($F$2:$F190,V$1)</f>
        <v>8</v>
      </c>
      <c r="W190" s="4">
        <f t="shared" si="192"/>
        <v>28</v>
      </c>
      <c r="X190" s="4">
        <f t="shared" si="192"/>
        <v>11</v>
      </c>
      <c r="Y190" s="4">
        <f t="shared" si="192"/>
        <v>16</v>
      </c>
      <c r="Z190" s="4">
        <f t="shared" si="192"/>
        <v>29</v>
      </c>
      <c r="AA190" s="4">
        <f t="shared" si="192"/>
        <v>7</v>
      </c>
      <c r="AB190" s="4">
        <f t="shared" si="192"/>
        <v>7</v>
      </c>
      <c r="AC190" s="4">
        <f t="shared" si="192"/>
        <v>28</v>
      </c>
      <c r="AD190" s="4">
        <f t="shared" si="192"/>
        <v>33</v>
      </c>
      <c r="AE190" s="4">
        <f t="shared" si="192"/>
        <v>7</v>
      </c>
      <c r="AF190" s="4">
        <f t="shared" si="192"/>
        <v>14</v>
      </c>
      <c r="AG190" s="4">
        <f t="shared" si="192"/>
        <v>0</v>
      </c>
      <c r="AH190" s="4">
        <f t="shared" si="192"/>
        <v>0</v>
      </c>
    </row>
    <row r="191">
      <c r="A191" s="7">
        <v>190.0</v>
      </c>
      <c r="B191" s="8">
        <v>45895.0</v>
      </c>
      <c r="C191" s="7">
        <v>2025.0</v>
      </c>
      <c r="D191" s="7" t="s">
        <v>28</v>
      </c>
      <c r="E191" s="7" t="s">
        <v>4</v>
      </c>
      <c r="F191" s="7" t="s">
        <v>2</v>
      </c>
      <c r="G191" s="9">
        <f t="shared" si="188"/>
        <v>8</v>
      </c>
      <c r="H191" s="7" t="s">
        <v>29</v>
      </c>
      <c r="I191" s="7" t="s">
        <v>29</v>
      </c>
      <c r="J191" s="7" t="s">
        <v>29</v>
      </c>
      <c r="K191" s="7" t="s">
        <v>28</v>
      </c>
      <c r="L191" s="7" t="s">
        <v>29</v>
      </c>
      <c r="M191" s="7" t="s">
        <v>28</v>
      </c>
      <c r="N191" s="9"/>
      <c r="O191" s="7" t="s">
        <v>29</v>
      </c>
      <c r="P191" s="7" t="s">
        <v>29</v>
      </c>
      <c r="Q191" s="7" t="s">
        <v>28</v>
      </c>
      <c r="R191" s="7" t="s">
        <v>29</v>
      </c>
      <c r="S191" s="7" t="s">
        <v>28</v>
      </c>
      <c r="T191" s="7" t="s">
        <v>29</v>
      </c>
      <c r="V191" s="4">
        <f t="shared" ref="V191:AH191" si="193">COUNTIF($F$2:$F191,V$1)</f>
        <v>8</v>
      </c>
      <c r="W191" s="4">
        <f t="shared" si="193"/>
        <v>28</v>
      </c>
      <c r="X191" s="4">
        <f t="shared" si="193"/>
        <v>12</v>
      </c>
      <c r="Y191" s="4">
        <f t="shared" si="193"/>
        <v>16</v>
      </c>
      <c r="Z191" s="4">
        <f t="shared" si="193"/>
        <v>29</v>
      </c>
      <c r="AA191" s="4">
        <f t="shared" si="193"/>
        <v>7</v>
      </c>
      <c r="AB191" s="4">
        <f t="shared" si="193"/>
        <v>7</v>
      </c>
      <c r="AC191" s="4">
        <f t="shared" si="193"/>
        <v>28</v>
      </c>
      <c r="AD191" s="4">
        <f t="shared" si="193"/>
        <v>33</v>
      </c>
      <c r="AE191" s="4">
        <f t="shared" si="193"/>
        <v>7</v>
      </c>
      <c r="AF191" s="4">
        <f t="shared" si="193"/>
        <v>14</v>
      </c>
      <c r="AG191" s="4">
        <f t="shared" si="193"/>
        <v>0</v>
      </c>
      <c r="AH191" s="4">
        <f t="shared" si="193"/>
        <v>0</v>
      </c>
    </row>
    <row r="192">
      <c r="A192" s="7">
        <v>191.0</v>
      </c>
      <c r="B192" s="8">
        <v>45910.0</v>
      </c>
      <c r="C192" s="7">
        <v>2025.0</v>
      </c>
      <c r="D192" s="7" t="s">
        <v>28</v>
      </c>
      <c r="E192" s="7" t="s">
        <v>2</v>
      </c>
      <c r="F192" s="7" t="s">
        <v>5</v>
      </c>
      <c r="G192" s="9">
        <f t="shared" si="188"/>
        <v>9</v>
      </c>
      <c r="H192" s="7" t="s">
        <v>29</v>
      </c>
      <c r="I192" s="7" t="s">
        <v>29</v>
      </c>
      <c r="J192" s="7" t="s">
        <v>29</v>
      </c>
      <c r="K192" s="7" t="s">
        <v>28</v>
      </c>
      <c r="L192" s="7" t="s">
        <v>29</v>
      </c>
      <c r="M192" s="7" t="s">
        <v>29</v>
      </c>
      <c r="N192" s="9"/>
      <c r="O192" s="7" t="s">
        <v>29</v>
      </c>
      <c r="P192" s="7" t="s">
        <v>29</v>
      </c>
      <c r="Q192" s="7" t="s">
        <v>28</v>
      </c>
      <c r="R192" s="7" t="s">
        <v>29</v>
      </c>
      <c r="S192" s="7" t="s">
        <v>28</v>
      </c>
      <c r="T192" s="7" t="s">
        <v>29</v>
      </c>
      <c r="V192" s="4">
        <f t="shared" ref="V192:AH192" si="194">COUNTIF($F$2:$F192,V$1)</f>
        <v>8</v>
      </c>
      <c r="W192" s="4">
        <f t="shared" si="194"/>
        <v>28</v>
      </c>
      <c r="X192" s="4">
        <f t="shared" si="194"/>
        <v>12</v>
      </c>
      <c r="Y192" s="4">
        <f t="shared" si="194"/>
        <v>16</v>
      </c>
      <c r="Z192" s="4">
        <f t="shared" si="194"/>
        <v>29</v>
      </c>
      <c r="AA192" s="4">
        <f t="shared" si="194"/>
        <v>8</v>
      </c>
      <c r="AB192" s="4">
        <f t="shared" si="194"/>
        <v>7</v>
      </c>
      <c r="AC192" s="4">
        <f t="shared" si="194"/>
        <v>28</v>
      </c>
      <c r="AD192" s="4">
        <f t="shared" si="194"/>
        <v>33</v>
      </c>
      <c r="AE192" s="4">
        <f t="shared" si="194"/>
        <v>7</v>
      </c>
      <c r="AF192" s="4">
        <f t="shared" si="194"/>
        <v>14</v>
      </c>
      <c r="AG192" s="4">
        <f t="shared" si="194"/>
        <v>0</v>
      </c>
      <c r="AH192" s="4">
        <f t="shared" si="194"/>
        <v>0</v>
      </c>
    </row>
    <row r="193">
      <c r="A193" s="7">
        <v>192.0</v>
      </c>
      <c r="B193" s="8">
        <v>45950.0</v>
      </c>
      <c r="C193" s="7">
        <v>2025.0</v>
      </c>
      <c r="D193" s="7" t="s">
        <v>28</v>
      </c>
      <c r="E193" s="7" t="s">
        <v>5</v>
      </c>
      <c r="F193" s="7" t="s">
        <v>8</v>
      </c>
      <c r="G193" s="9">
        <f t="shared" si="188"/>
        <v>10</v>
      </c>
      <c r="H193" s="7" t="s">
        <v>29</v>
      </c>
      <c r="I193" s="7" t="s">
        <v>29</v>
      </c>
      <c r="J193" s="7" t="s">
        <v>29</v>
      </c>
      <c r="K193" s="7" t="s">
        <v>28</v>
      </c>
      <c r="L193" s="7" t="s">
        <v>29</v>
      </c>
      <c r="M193" s="7" t="s">
        <v>29</v>
      </c>
      <c r="N193" s="9"/>
      <c r="O193" s="7" t="s">
        <v>29</v>
      </c>
      <c r="P193" s="7" t="s">
        <v>29</v>
      </c>
      <c r="Q193" s="7" t="s">
        <v>28</v>
      </c>
      <c r="R193" s="7" t="s">
        <v>29</v>
      </c>
      <c r="S193" s="7" t="s">
        <v>29</v>
      </c>
      <c r="T193" s="7" t="s">
        <v>29</v>
      </c>
      <c r="V193" s="4">
        <f t="shared" ref="V193:AH193" si="195">COUNTIF($F$2:$F193,V$1)</f>
        <v>8</v>
      </c>
      <c r="W193" s="4">
        <f t="shared" si="195"/>
        <v>28</v>
      </c>
      <c r="X193" s="4">
        <f t="shared" si="195"/>
        <v>12</v>
      </c>
      <c r="Y193" s="4">
        <f t="shared" si="195"/>
        <v>16</v>
      </c>
      <c r="Z193" s="4">
        <f t="shared" si="195"/>
        <v>29</v>
      </c>
      <c r="AA193" s="4">
        <f t="shared" si="195"/>
        <v>8</v>
      </c>
      <c r="AB193" s="4">
        <f t="shared" si="195"/>
        <v>7</v>
      </c>
      <c r="AC193" s="4">
        <f t="shared" si="195"/>
        <v>28</v>
      </c>
      <c r="AD193" s="4">
        <f t="shared" si="195"/>
        <v>34</v>
      </c>
      <c r="AE193" s="4">
        <f t="shared" si="195"/>
        <v>7</v>
      </c>
      <c r="AF193" s="4">
        <f t="shared" si="195"/>
        <v>14</v>
      </c>
      <c r="AG193" s="4">
        <f t="shared" si="195"/>
        <v>0</v>
      </c>
      <c r="AH193" s="4">
        <f t="shared" si="195"/>
        <v>0</v>
      </c>
    </row>
    <row r="194">
      <c r="A194" s="7">
        <v>193.0</v>
      </c>
      <c r="B194" s="8">
        <v>45981.0</v>
      </c>
      <c r="C194" s="7">
        <v>2025.0</v>
      </c>
      <c r="D194" s="7" t="s">
        <v>28</v>
      </c>
      <c r="E194" s="7" t="s">
        <v>26</v>
      </c>
      <c r="F194" s="7" t="s">
        <v>0</v>
      </c>
      <c r="G194" s="9">
        <f t="shared" si="188"/>
        <v>9</v>
      </c>
      <c r="H194" s="7" t="s">
        <v>29</v>
      </c>
      <c r="I194" s="7" t="s">
        <v>29</v>
      </c>
      <c r="J194" s="7" t="s">
        <v>29</v>
      </c>
      <c r="K194" s="7" t="s">
        <v>28</v>
      </c>
      <c r="L194" s="7" t="s">
        <v>29</v>
      </c>
      <c r="M194" s="7" t="s">
        <v>29</v>
      </c>
      <c r="N194" s="9"/>
      <c r="O194" s="7" t="s">
        <v>29</v>
      </c>
      <c r="P194" s="7" t="s">
        <v>29</v>
      </c>
      <c r="Q194" s="7" t="s">
        <v>28</v>
      </c>
      <c r="R194" s="7" t="s">
        <v>28</v>
      </c>
      <c r="S194" s="7" t="s">
        <v>29</v>
      </c>
      <c r="T194" s="7" t="s">
        <v>29</v>
      </c>
      <c r="V194" s="4">
        <f t="shared" ref="V194:AH194" si="196">COUNTIF($F$2:$F194,V$1)</f>
        <v>9</v>
      </c>
      <c r="W194" s="4">
        <f t="shared" si="196"/>
        <v>28</v>
      </c>
      <c r="X194" s="4">
        <f t="shared" si="196"/>
        <v>12</v>
      </c>
      <c r="Y194" s="4">
        <f t="shared" si="196"/>
        <v>16</v>
      </c>
      <c r="Z194" s="4">
        <f t="shared" si="196"/>
        <v>29</v>
      </c>
      <c r="AA194" s="4">
        <f t="shared" si="196"/>
        <v>8</v>
      </c>
      <c r="AB194" s="4">
        <f t="shared" si="196"/>
        <v>7</v>
      </c>
      <c r="AC194" s="4">
        <f t="shared" si="196"/>
        <v>28</v>
      </c>
      <c r="AD194" s="4">
        <f t="shared" si="196"/>
        <v>34</v>
      </c>
      <c r="AE194" s="4">
        <f t="shared" si="196"/>
        <v>7</v>
      </c>
      <c r="AF194" s="4">
        <f t="shared" si="196"/>
        <v>14</v>
      </c>
      <c r="AG194" s="4">
        <f t="shared" si="196"/>
        <v>0</v>
      </c>
      <c r="AH194" s="4">
        <f t="shared" si="196"/>
        <v>0</v>
      </c>
    </row>
    <row r="195">
      <c r="A195" s="7">
        <v>194.0</v>
      </c>
      <c r="B195" s="8">
        <v>45993.0</v>
      </c>
      <c r="C195" s="7">
        <v>2025.0</v>
      </c>
      <c r="D195" s="7" t="s">
        <v>29</v>
      </c>
      <c r="E195" s="7" t="s">
        <v>25</v>
      </c>
      <c r="F195" s="7" t="s">
        <v>4</v>
      </c>
      <c r="G195" s="9">
        <f t="shared" si="188"/>
        <v>11</v>
      </c>
      <c r="H195" s="7" t="s">
        <v>29</v>
      </c>
      <c r="I195" s="7" t="s">
        <v>29</v>
      </c>
      <c r="J195" s="7" t="s">
        <v>29</v>
      </c>
      <c r="K195" s="7" t="s">
        <v>29</v>
      </c>
      <c r="L195" s="7" t="s">
        <v>29</v>
      </c>
      <c r="M195" s="7" t="s">
        <v>29</v>
      </c>
      <c r="N195" s="9"/>
      <c r="O195" s="7" t="s">
        <v>29</v>
      </c>
      <c r="P195" s="7" t="s">
        <v>29</v>
      </c>
      <c r="Q195" s="7" t="s">
        <v>28</v>
      </c>
      <c r="R195" s="7" t="s">
        <v>29</v>
      </c>
      <c r="S195" s="7" t="s">
        <v>29</v>
      </c>
      <c r="T195" s="7" t="s">
        <v>29</v>
      </c>
      <c r="V195" s="4">
        <f t="shared" ref="V195:AH195" si="197">COUNTIF($F$2:$F195,V$1)</f>
        <v>9</v>
      </c>
      <c r="W195" s="4">
        <f t="shared" si="197"/>
        <v>28</v>
      </c>
      <c r="X195" s="4">
        <f t="shared" si="197"/>
        <v>12</v>
      </c>
      <c r="Y195" s="4">
        <f t="shared" si="197"/>
        <v>16</v>
      </c>
      <c r="Z195" s="4">
        <f t="shared" si="197"/>
        <v>30</v>
      </c>
      <c r="AA195" s="4">
        <f t="shared" si="197"/>
        <v>8</v>
      </c>
      <c r="AB195" s="4">
        <f t="shared" si="197"/>
        <v>7</v>
      </c>
      <c r="AC195" s="4">
        <f t="shared" si="197"/>
        <v>28</v>
      </c>
      <c r="AD195" s="4">
        <f t="shared" si="197"/>
        <v>34</v>
      </c>
      <c r="AE195" s="4">
        <f t="shared" si="197"/>
        <v>7</v>
      </c>
      <c r="AF195" s="4">
        <f t="shared" si="197"/>
        <v>14</v>
      </c>
      <c r="AG195" s="4">
        <f t="shared" si="197"/>
        <v>0</v>
      </c>
      <c r="AH195" s="4">
        <f t="shared" si="197"/>
        <v>0</v>
      </c>
    </row>
    <row r="196">
      <c r="A196" s="7">
        <v>195.0</v>
      </c>
      <c r="B196" s="8">
        <v>46037.0</v>
      </c>
      <c r="C196" s="7">
        <v>2026.0</v>
      </c>
      <c r="D196" s="7" t="s">
        <v>28</v>
      </c>
      <c r="E196" s="7" t="s">
        <v>8</v>
      </c>
      <c r="F196" s="7" t="s">
        <v>1</v>
      </c>
      <c r="G196" s="9">
        <f t="shared" si="188"/>
        <v>9</v>
      </c>
      <c r="H196" s="7" t="s">
        <v>29</v>
      </c>
      <c r="I196" s="7" t="s">
        <v>29</v>
      </c>
      <c r="J196" s="7" t="s">
        <v>28</v>
      </c>
      <c r="K196" s="7" t="s">
        <v>29</v>
      </c>
      <c r="L196" s="7" t="s">
        <v>29</v>
      </c>
      <c r="M196" s="7" t="s">
        <v>29</v>
      </c>
      <c r="N196" s="9"/>
      <c r="O196" s="7" t="s">
        <v>28</v>
      </c>
      <c r="P196" s="7" t="s">
        <v>29</v>
      </c>
      <c r="Q196" s="7" t="s">
        <v>28</v>
      </c>
      <c r="R196" s="7" t="s">
        <v>29</v>
      </c>
      <c r="S196" s="7" t="s">
        <v>29</v>
      </c>
      <c r="T196" s="7" t="s">
        <v>29</v>
      </c>
      <c r="V196" s="4">
        <f t="shared" ref="V196:AH196" si="198">COUNTIF($F$2:$F196,V$1)</f>
        <v>9</v>
      </c>
      <c r="W196" s="4">
        <f t="shared" si="198"/>
        <v>29</v>
      </c>
      <c r="X196" s="4">
        <f t="shared" si="198"/>
        <v>12</v>
      </c>
      <c r="Y196" s="4">
        <f t="shared" si="198"/>
        <v>16</v>
      </c>
      <c r="Z196" s="4">
        <f t="shared" si="198"/>
        <v>30</v>
      </c>
      <c r="AA196" s="4">
        <f t="shared" si="198"/>
        <v>8</v>
      </c>
      <c r="AB196" s="4">
        <f t="shared" si="198"/>
        <v>7</v>
      </c>
      <c r="AC196" s="4">
        <f t="shared" si="198"/>
        <v>28</v>
      </c>
      <c r="AD196" s="4">
        <f t="shared" si="198"/>
        <v>34</v>
      </c>
      <c r="AE196" s="4">
        <f t="shared" si="198"/>
        <v>7</v>
      </c>
      <c r="AF196" s="4">
        <f t="shared" si="198"/>
        <v>14</v>
      </c>
      <c r="AG196" s="4">
        <f t="shared" si="198"/>
        <v>0</v>
      </c>
      <c r="AH196" s="4">
        <f t="shared" si="198"/>
        <v>0</v>
      </c>
    </row>
    <row r="197">
      <c r="A197" s="7">
        <v>196.0</v>
      </c>
      <c r="B197" s="8">
        <v>46072.0</v>
      </c>
      <c r="C197" s="7">
        <v>2026.0</v>
      </c>
      <c r="D197" s="7" t="s">
        <v>28</v>
      </c>
      <c r="E197" s="7" t="s">
        <v>1</v>
      </c>
      <c r="F197" s="7" t="s">
        <v>3</v>
      </c>
      <c r="G197" s="9">
        <f t="shared" si="188"/>
        <v>9</v>
      </c>
      <c r="H197" s="7" t="s">
        <v>29</v>
      </c>
      <c r="I197" s="7" t="s">
        <v>29</v>
      </c>
      <c r="J197" s="7" t="s">
        <v>29</v>
      </c>
      <c r="K197" s="7" t="s">
        <v>29</v>
      </c>
      <c r="L197" s="7" t="s">
        <v>29</v>
      </c>
      <c r="M197" s="7" t="s">
        <v>29</v>
      </c>
      <c r="N197" s="9"/>
      <c r="O197" s="7" t="s">
        <v>29</v>
      </c>
      <c r="P197" s="7" t="s">
        <v>28</v>
      </c>
      <c r="Q197" s="7" t="s">
        <v>28</v>
      </c>
      <c r="R197" s="7" t="s">
        <v>29</v>
      </c>
      <c r="S197" s="7" t="s">
        <v>28</v>
      </c>
      <c r="T197" s="7" t="s">
        <v>29</v>
      </c>
      <c r="V197" s="4">
        <f t="shared" ref="V197:AH197" si="199">COUNTIF($F$2:$F197,V$1)</f>
        <v>9</v>
      </c>
      <c r="W197" s="4">
        <f t="shared" si="199"/>
        <v>29</v>
      </c>
      <c r="X197" s="4">
        <f t="shared" si="199"/>
        <v>12</v>
      </c>
      <c r="Y197" s="4">
        <f t="shared" si="199"/>
        <v>17</v>
      </c>
      <c r="Z197" s="4">
        <f t="shared" si="199"/>
        <v>30</v>
      </c>
      <c r="AA197" s="4">
        <f t="shared" si="199"/>
        <v>8</v>
      </c>
      <c r="AB197" s="4">
        <f t="shared" si="199"/>
        <v>7</v>
      </c>
      <c r="AC197" s="4">
        <f t="shared" si="199"/>
        <v>28</v>
      </c>
      <c r="AD197" s="4">
        <f t="shared" si="199"/>
        <v>34</v>
      </c>
      <c r="AE197" s="4">
        <f t="shared" si="199"/>
        <v>7</v>
      </c>
      <c r="AF197" s="4">
        <f t="shared" si="199"/>
        <v>14</v>
      </c>
      <c r="AG197" s="4">
        <f t="shared" si="199"/>
        <v>0</v>
      </c>
      <c r="AH197" s="4">
        <f t="shared" si="199"/>
        <v>0</v>
      </c>
    </row>
    <row r="198">
      <c r="A198" s="7">
        <v>197.0</v>
      </c>
      <c r="B198" s="8">
        <v>46085.0</v>
      </c>
      <c r="C198" s="7">
        <v>2026.0</v>
      </c>
      <c r="D198" s="7" t="s">
        <v>28</v>
      </c>
      <c r="E198" s="7" t="s">
        <v>0</v>
      </c>
      <c r="F198" s="7" t="s">
        <v>8</v>
      </c>
      <c r="G198" s="9">
        <f t="shared" si="188"/>
        <v>9</v>
      </c>
      <c r="H198" s="7" t="s">
        <v>29</v>
      </c>
      <c r="I198" s="7" t="s">
        <v>29</v>
      </c>
      <c r="J198" s="7" t="s">
        <v>28</v>
      </c>
      <c r="K198" s="7" t="s">
        <v>29</v>
      </c>
      <c r="L198" s="7" t="s">
        <v>29</v>
      </c>
      <c r="M198" s="7" t="s">
        <v>29</v>
      </c>
      <c r="N198" s="9"/>
      <c r="O198" s="7" t="s">
        <v>29</v>
      </c>
      <c r="P198" s="7" t="s">
        <v>29</v>
      </c>
      <c r="Q198" s="7" t="s">
        <v>28</v>
      </c>
      <c r="R198" s="7" t="s">
        <v>29</v>
      </c>
      <c r="S198" s="7" t="s">
        <v>28</v>
      </c>
      <c r="T198" s="7" t="s">
        <v>29</v>
      </c>
      <c r="V198" s="4">
        <f t="shared" ref="V198:AH198" si="200">COUNTIF($F$2:$F198,V$1)</f>
        <v>9</v>
      </c>
      <c r="W198" s="4">
        <f t="shared" si="200"/>
        <v>29</v>
      </c>
      <c r="X198" s="4">
        <f t="shared" si="200"/>
        <v>12</v>
      </c>
      <c r="Y198" s="4">
        <f t="shared" si="200"/>
        <v>17</v>
      </c>
      <c r="Z198" s="4">
        <f t="shared" si="200"/>
        <v>30</v>
      </c>
      <c r="AA198" s="4">
        <f t="shared" si="200"/>
        <v>8</v>
      </c>
      <c r="AB198" s="4">
        <f t="shared" si="200"/>
        <v>7</v>
      </c>
      <c r="AC198" s="4">
        <f t="shared" si="200"/>
        <v>28</v>
      </c>
      <c r="AD198" s="4">
        <f t="shared" si="200"/>
        <v>35</v>
      </c>
      <c r="AE198" s="4">
        <f t="shared" si="200"/>
        <v>7</v>
      </c>
      <c r="AF198" s="4">
        <f t="shared" si="200"/>
        <v>14</v>
      </c>
      <c r="AG198" s="4">
        <f t="shared" si="200"/>
        <v>0</v>
      </c>
      <c r="AH198" s="4">
        <f t="shared" si="200"/>
        <v>0</v>
      </c>
    </row>
    <row r="199">
      <c r="A199" s="7">
        <v>198.0</v>
      </c>
      <c r="B199" s="8">
        <v>46114.0</v>
      </c>
      <c r="C199" s="7">
        <v>2026.0</v>
      </c>
      <c r="D199" s="7" t="s">
        <v>29</v>
      </c>
      <c r="E199" s="7" t="s">
        <v>30</v>
      </c>
      <c r="F199" s="7" t="s">
        <v>1</v>
      </c>
      <c r="G199" s="9">
        <f t="shared" si="188"/>
        <v>6</v>
      </c>
      <c r="H199" s="7" t="s">
        <v>28</v>
      </c>
      <c r="I199" s="7" t="s">
        <v>29</v>
      </c>
      <c r="J199" s="7" t="s">
        <v>29</v>
      </c>
      <c r="K199" s="7" t="s">
        <v>29</v>
      </c>
      <c r="L199" s="7" t="s">
        <v>29</v>
      </c>
      <c r="M199" s="7" t="s">
        <v>28</v>
      </c>
      <c r="N199" s="9"/>
      <c r="O199" s="7" t="s">
        <v>29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29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7">
        <v>199.0</v>
      </c>
      <c r="B200" s="7" t="s">
        <v>52</v>
      </c>
      <c r="C200" s="7">
        <v>2026.0</v>
      </c>
      <c r="D200" s="9"/>
      <c r="E200" s="9"/>
      <c r="F200" s="9"/>
      <c r="G200" s="9">
        <f t="shared" si="188"/>
        <v>0</v>
      </c>
      <c r="H200" s="7"/>
      <c r="I200" s="7"/>
      <c r="J200" s="7"/>
      <c r="K200" s="7"/>
      <c r="L200" s="7"/>
      <c r="M200" s="7"/>
      <c r="N200" s="9"/>
      <c r="O200" s="7"/>
      <c r="P200" s="7"/>
      <c r="Q200" s="7"/>
      <c r="R200" s="7"/>
      <c r="S200" s="7"/>
      <c r="T200" s="7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7">
        <v>200.0</v>
      </c>
      <c r="B201" s="7" t="s">
        <v>53</v>
      </c>
      <c r="C201" s="7">
        <v>2026.0</v>
      </c>
      <c r="D201" s="9"/>
      <c r="E201" s="9"/>
      <c r="F201" s="9"/>
      <c r="G201" s="9">
        <f t="shared" si="188"/>
        <v>0</v>
      </c>
      <c r="H201" s="7"/>
      <c r="I201" s="7"/>
      <c r="J201" s="7"/>
      <c r="K201" s="7"/>
      <c r="L201" s="7"/>
      <c r="M201" s="7"/>
      <c r="N201" s="9"/>
      <c r="O201" s="7"/>
      <c r="P201" s="7"/>
      <c r="Q201" s="7"/>
      <c r="R201" s="7"/>
      <c r="S201" s="7"/>
      <c r="T201" s="7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T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T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T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T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T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T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T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T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T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T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T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T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T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T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T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T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T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T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T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T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T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T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T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T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T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T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T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T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T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T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T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T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T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T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T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T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T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T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T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T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T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T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T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T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T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T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T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T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T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T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T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T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T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T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T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T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T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T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T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T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T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T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T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T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T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T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T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T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T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T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T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T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T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T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T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T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T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T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T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T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T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T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T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T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T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T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T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T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T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T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T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T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T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T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T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T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T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T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T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T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T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T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T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T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T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T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T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T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T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T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T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T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T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T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T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T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T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T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T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T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T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T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T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T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T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T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T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T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T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T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T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T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T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T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T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T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T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T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T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T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T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T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T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T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T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T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T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T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T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T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T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T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T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T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T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T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T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T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T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T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T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T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T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T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T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T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T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T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T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T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T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T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T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T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T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T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T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T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T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T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T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T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T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T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T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T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T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T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T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T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T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T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T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T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T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T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T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T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T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T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T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T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T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T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T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T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T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T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T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T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T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T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T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T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T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T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T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T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T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T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T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T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T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T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T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T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T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T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T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T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T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T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T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T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T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T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T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T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T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T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T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T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T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T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T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T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T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T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T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T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T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T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T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T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T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T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T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T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T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T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T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T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T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T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T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T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T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T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T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T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T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T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T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T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T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T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T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T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T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T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T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T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T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T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T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T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T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T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T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T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T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T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T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T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T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T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T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T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T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T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T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T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T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T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T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T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T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T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T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T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T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T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T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T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T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T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T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T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T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T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T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T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T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T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T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T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T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T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T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T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T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T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T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T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T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T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T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T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T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T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T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T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T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T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T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T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T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T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T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T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T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T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T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T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T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T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T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T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T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T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T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T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T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T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T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T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T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T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T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T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T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T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T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T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T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T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T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T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T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T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T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T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T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T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T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T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T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T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T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T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T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T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T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T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T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T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T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T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T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T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T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T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T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T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T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T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T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T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T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T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T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T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T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T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T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T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T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T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T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T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T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T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T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T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T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T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T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T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T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T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T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T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T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T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T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T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T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T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T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T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T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T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T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T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T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T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T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T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T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T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T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T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T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T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T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T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T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T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T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T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T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T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T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T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T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T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T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T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T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T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T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T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T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T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T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T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T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T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T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T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T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T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T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T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T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T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T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T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T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T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T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T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T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T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T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T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T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T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T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T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T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T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T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T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T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T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T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T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T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T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T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T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T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T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T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T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T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T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T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T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T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T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T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T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T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T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T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T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T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T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T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T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T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T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T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T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T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T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T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T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T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T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T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T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T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T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T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T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T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T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T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T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T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T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T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T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T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T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T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T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T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T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T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T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T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T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T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T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T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T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T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T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T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T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T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T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T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T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T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T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T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T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T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T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T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T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T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T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T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T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T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T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T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T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T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T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T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T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T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T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T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T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T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T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T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T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T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T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T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T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T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T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T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T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T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T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T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T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T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T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T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T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T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T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T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T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T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T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T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T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T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T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T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T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T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T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T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T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T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T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T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T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T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T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T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T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T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T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T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T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T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T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T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T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T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T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T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T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T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T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T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T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T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T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T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T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T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T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T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T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T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T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T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T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T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T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T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T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T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T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T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T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T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T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T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T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T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T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T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T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T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T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T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T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T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T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T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T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T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T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T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T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T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T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T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T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T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T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T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T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T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T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T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T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T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T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T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T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T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T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T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T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T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T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T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T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T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T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T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T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T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T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T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T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T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T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T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T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T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T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T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T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T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T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T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T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T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T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T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T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T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T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T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T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T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T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T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T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T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T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T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T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T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T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T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T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T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T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T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T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T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T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T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T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T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T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T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T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T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T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T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T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T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T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T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T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T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T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T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T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T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T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T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T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T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T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T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T1000" s="21"/>
    </row>
  </sheetData>
  <autoFilter ref="$A$1:$F$201"/>
  <conditionalFormatting sqref="H14:T201">
    <cfRule type="containsText" dxfId="0" priority="1" operator="containsText" text="Yes">
      <formula>NOT(ISERROR(SEARCH(("Yes"),(H14))))</formula>
    </cfRule>
  </conditionalFormatting>
  <conditionalFormatting sqref="H14:T201">
    <cfRule type="containsText" dxfId="1" priority="2" operator="containsText" text="No">
      <formula>NOT(ISERROR(SEARCH(("No"),(H14))))</formula>
    </cfRule>
  </conditionalFormatting>
  <dataValidations>
    <dataValidation type="list" allowBlank="1" showErrorMessage="1" sqref="E101:F201">
      <formula1>'Host Order'!$A$2:$A$16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hidden="1" min="8" max="8" width="12.63"/>
  </cols>
  <sheetData>
    <row r="1">
      <c r="A1" s="3" t="s">
        <v>17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3" t="s">
        <v>56</v>
      </c>
      <c r="B2" s="4">
        <f>countif('Raw Data'!H:H,"YES")</f>
        <v>162</v>
      </c>
      <c r="C2" s="4">
        <f>countif('Raw Data'!I:I,"YES")</f>
        <v>178</v>
      </c>
      <c r="D2" s="4">
        <f>countif('Raw Data'!J:J,"YES")</f>
        <v>106</v>
      </c>
      <c r="E2" s="4">
        <f>countif('Raw Data'!K:K,"YES")</f>
        <v>134</v>
      </c>
      <c r="F2" s="4">
        <f>countif('Raw Data'!L:L,"YES")</f>
        <v>189</v>
      </c>
      <c r="G2" s="4">
        <f>countif('Raw Data'!M:M,"YES")</f>
        <v>108</v>
      </c>
      <c r="H2" s="4">
        <f>countif('Raw Data'!N:N,"YES")</f>
        <v>36</v>
      </c>
      <c r="I2" s="4">
        <f>countif('Raw Data'!O:O,"YES")</f>
        <v>119</v>
      </c>
      <c r="J2" s="4">
        <f>countif('Raw Data'!P:P,"YES")</f>
        <v>178</v>
      </c>
      <c r="K2" s="4">
        <f>countif('Raw Data'!Q:Q,"YES")</f>
        <v>63</v>
      </c>
      <c r="L2" s="4">
        <f>countif('Raw Data'!R:R,"YES")</f>
        <v>120</v>
      </c>
    </row>
    <row r="3">
      <c r="A3" s="3" t="s">
        <v>57</v>
      </c>
      <c r="B3" s="4">
        <f>vlookup(B1,'Bracelets Pivot'!$A2:$B13,2,FALSE)</f>
        <v>9</v>
      </c>
      <c r="C3" s="4">
        <f>vlookup(C1,'Bracelets Pivot'!$A2:$B13,2,FALSE)</f>
        <v>30</v>
      </c>
      <c r="D3" s="4">
        <f>vlookup(D1,'Bracelets Pivot'!$A2:$B13,2,FALSE)</f>
        <v>12</v>
      </c>
      <c r="E3" s="4">
        <f>vlookup(E1,'Bracelets Pivot'!$A2:$B13,2,FALSE)</f>
        <v>17</v>
      </c>
      <c r="F3" s="4">
        <f>vlookup(F1,'Bracelets Pivot'!$A2:$B13,2,FALSE)</f>
        <v>30</v>
      </c>
      <c r="G3" s="4">
        <f>vlookup(G1,'Bracelets Pivot'!$A2:$B13,2,FALSE)</f>
        <v>8</v>
      </c>
      <c r="H3" s="4">
        <f>vlookup(H1,'Bracelets Pivot'!$A2:$B13,2,FALSE)</f>
        <v>7</v>
      </c>
      <c r="I3" s="4">
        <f>vlookup(I1,'Bracelets Pivot'!$A2:$B13,2,FALSE)</f>
        <v>28</v>
      </c>
      <c r="J3" s="4">
        <f>vlookup(J1,'Bracelets Pivot'!$A2:$B13,2,FALSE)</f>
        <v>35</v>
      </c>
      <c r="K3" s="4">
        <f>vlookup(K1,'Bracelets Pivot'!$A2:$B13,2,FALSE)</f>
        <v>7</v>
      </c>
      <c r="L3" s="4">
        <f>vlookup(L1,'Bracelets Pivot'!$A2:$B13,2,FALSE)</f>
        <v>14</v>
      </c>
    </row>
    <row r="4">
      <c r="A4" s="3" t="s">
        <v>58</v>
      </c>
      <c r="B4" s="23">
        <f t="shared" ref="B4:L4" si="1">B3/B2</f>
        <v>0.05555555556</v>
      </c>
      <c r="C4" s="23">
        <f t="shared" si="1"/>
        <v>0.1685393258</v>
      </c>
      <c r="D4" s="23">
        <f t="shared" si="1"/>
        <v>0.1132075472</v>
      </c>
      <c r="E4" s="23">
        <f t="shared" si="1"/>
        <v>0.1268656716</v>
      </c>
      <c r="F4" s="23">
        <f t="shared" si="1"/>
        <v>0.1587301587</v>
      </c>
      <c r="G4" s="23">
        <f t="shared" si="1"/>
        <v>0.07407407407</v>
      </c>
      <c r="H4" s="23">
        <f t="shared" si="1"/>
        <v>0.1944444444</v>
      </c>
      <c r="I4" s="23">
        <f t="shared" si="1"/>
        <v>0.2352941176</v>
      </c>
      <c r="J4" s="23">
        <f t="shared" si="1"/>
        <v>0.1966292135</v>
      </c>
      <c r="K4" s="23">
        <f t="shared" si="1"/>
        <v>0.1111111111</v>
      </c>
      <c r="L4" s="23">
        <f t="shared" si="1"/>
        <v>0.1166666667</v>
      </c>
    </row>
    <row r="6">
      <c r="A6" s="1" t="s">
        <v>7</v>
      </c>
      <c r="B6" s="23">
        <f>$I$4</f>
        <v>0.2352941176</v>
      </c>
    </row>
    <row r="7" hidden="1">
      <c r="A7" s="2" t="s">
        <v>6</v>
      </c>
      <c r="B7" s="23">
        <f>$H$4</f>
        <v>0.1944444444</v>
      </c>
    </row>
    <row r="8">
      <c r="A8" s="1" t="s">
        <v>8</v>
      </c>
      <c r="B8" s="23">
        <f>$J$4</f>
        <v>0.1966292135</v>
      </c>
    </row>
    <row r="9">
      <c r="A9" s="1" t="s">
        <v>4</v>
      </c>
      <c r="B9" s="23">
        <f>$F$4</f>
        <v>0.1587301587</v>
      </c>
    </row>
    <row r="10">
      <c r="A10" s="1" t="s">
        <v>1</v>
      </c>
      <c r="B10" s="23">
        <f>$C$4</f>
        <v>0.1685393258</v>
      </c>
    </row>
    <row r="11">
      <c r="A11" s="1" t="s">
        <v>3</v>
      </c>
      <c r="B11" s="23">
        <f>$E$4</f>
        <v>0.1268656716</v>
      </c>
    </row>
    <row r="12">
      <c r="A12" s="1" t="s">
        <v>10</v>
      </c>
      <c r="B12" s="23">
        <f>$L$4</f>
        <v>0.1166666667</v>
      </c>
    </row>
    <row r="13">
      <c r="A13" s="2" t="s">
        <v>2</v>
      </c>
      <c r="B13" s="23">
        <f>$D$4</f>
        <v>0.1132075472</v>
      </c>
    </row>
    <row r="14">
      <c r="A14" s="1" t="s">
        <v>9</v>
      </c>
      <c r="B14" s="23">
        <f>$K$4</f>
        <v>0.1111111111</v>
      </c>
    </row>
    <row r="15">
      <c r="A15" s="1" t="s">
        <v>5</v>
      </c>
      <c r="B15" s="23">
        <f>$G$4</f>
        <v>0.07407407407</v>
      </c>
    </row>
    <row r="16">
      <c r="A16" s="1" t="s">
        <v>0</v>
      </c>
      <c r="B16" s="23">
        <f>$B$4</f>
        <v>0.05555555556</v>
      </c>
    </row>
    <row r="18">
      <c r="A18" s="1" t="s">
        <v>1</v>
      </c>
      <c r="B18" s="23">
        <f>$C$4</f>
        <v>0.1685393258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63"/>
    <col customWidth="1" min="4" max="4" width="10.5"/>
  </cols>
  <sheetData>
    <row r="1">
      <c r="A1" s="24" t="s">
        <v>59</v>
      </c>
      <c r="C1" s="24" t="s">
        <v>60</v>
      </c>
      <c r="D1" s="24" t="s">
        <v>61</v>
      </c>
      <c r="E1" s="25"/>
    </row>
    <row r="2">
      <c r="A2" s="26" t="s">
        <v>0</v>
      </c>
      <c r="B2" s="27"/>
      <c r="C2" s="28" t="s">
        <v>8</v>
      </c>
      <c r="D2" s="29">
        <v>45682.0</v>
      </c>
      <c r="F2" s="30"/>
    </row>
    <row r="3">
      <c r="A3" s="26" t="s">
        <v>1</v>
      </c>
      <c r="B3" s="27"/>
      <c r="C3" s="28" t="s">
        <v>1</v>
      </c>
      <c r="D3" s="29">
        <v>45713.0</v>
      </c>
      <c r="F3" s="30"/>
    </row>
    <row r="4">
      <c r="A4" s="28" t="s">
        <v>25</v>
      </c>
      <c r="B4" s="27"/>
      <c r="C4" s="31" t="s">
        <v>7</v>
      </c>
      <c r="D4" s="29">
        <v>45741.0</v>
      </c>
      <c r="F4" s="30"/>
    </row>
    <row r="5">
      <c r="A5" s="28" t="s">
        <v>2</v>
      </c>
      <c r="B5" s="27"/>
      <c r="C5" s="3" t="s">
        <v>62</v>
      </c>
      <c r="D5" s="29">
        <v>45772.0</v>
      </c>
      <c r="F5" s="30"/>
    </row>
    <row r="6">
      <c r="A6" s="26" t="s">
        <v>3</v>
      </c>
      <c r="B6" s="27"/>
      <c r="C6" s="28" t="s">
        <v>0</v>
      </c>
      <c r="D6" s="29">
        <v>45802.0</v>
      </c>
      <c r="F6" s="32"/>
    </row>
    <row r="7">
      <c r="A7" s="26" t="s">
        <v>4</v>
      </c>
      <c r="B7" s="27"/>
      <c r="C7" s="28" t="s">
        <v>10</v>
      </c>
      <c r="D7" s="29">
        <v>45833.0</v>
      </c>
      <c r="F7" s="30"/>
    </row>
    <row r="8">
      <c r="A8" s="26" t="s">
        <v>5</v>
      </c>
      <c r="B8" s="27"/>
      <c r="C8" s="28" t="s">
        <v>9</v>
      </c>
      <c r="D8" s="29">
        <v>45863.0</v>
      </c>
      <c r="F8" s="30"/>
    </row>
    <row r="9">
      <c r="A9" s="28" t="s">
        <v>26</v>
      </c>
      <c r="B9" s="27"/>
      <c r="C9" s="28" t="s">
        <v>4</v>
      </c>
      <c r="D9" s="29">
        <v>45894.0</v>
      </c>
      <c r="F9" s="32"/>
    </row>
    <row r="10">
      <c r="A10" s="28" t="s">
        <v>6</v>
      </c>
      <c r="B10" s="27"/>
      <c r="C10" s="28" t="s">
        <v>2</v>
      </c>
      <c r="D10" s="29">
        <v>45925.0</v>
      </c>
      <c r="F10" s="30"/>
    </row>
    <row r="11">
      <c r="A11" s="26" t="s">
        <v>7</v>
      </c>
      <c r="B11" s="27"/>
      <c r="C11" s="28" t="s">
        <v>5</v>
      </c>
      <c r="D11" s="29">
        <v>45955.0</v>
      </c>
      <c r="F11" s="30"/>
    </row>
    <row r="12">
      <c r="A12" s="26" t="s">
        <v>8</v>
      </c>
      <c r="B12" s="27"/>
      <c r="C12" s="28" t="s">
        <v>26</v>
      </c>
      <c r="D12" s="29">
        <v>45986.0</v>
      </c>
      <c r="F12" s="30"/>
    </row>
    <row r="13">
      <c r="A13" s="26" t="s">
        <v>9</v>
      </c>
      <c r="B13" s="27"/>
      <c r="C13" s="33" t="s">
        <v>63</v>
      </c>
      <c r="D13" s="29">
        <v>46016.0</v>
      </c>
      <c r="E13" s="34" t="s">
        <v>64</v>
      </c>
    </row>
    <row r="14">
      <c r="A14" s="26" t="s">
        <v>10</v>
      </c>
      <c r="C14" s="28" t="s">
        <v>8</v>
      </c>
      <c r="D14" s="35">
        <v>46047.0</v>
      </c>
    </row>
    <row r="15">
      <c r="A15" s="34" t="s">
        <v>30</v>
      </c>
      <c r="C15" s="28" t="s">
        <v>1</v>
      </c>
      <c r="D15" s="35">
        <v>46078.0</v>
      </c>
      <c r="E15" s="34" t="s">
        <v>65</v>
      </c>
    </row>
    <row r="16">
      <c r="A16" s="34" t="s">
        <v>50</v>
      </c>
      <c r="C16" s="28" t="s">
        <v>0</v>
      </c>
      <c r="D16" s="35">
        <v>46106.0</v>
      </c>
    </row>
    <row r="17">
      <c r="C17" s="3" t="s">
        <v>62</v>
      </c>
      <c r="D17" s="36">
        <v>46137.0</v>
      </c>
      <c r="E17" s="34"/>
    </row>
    <row r="18">
      <c r="C18" s="28" t="s">
        <v>10</v>
      </c>
      <c r="D18" s="35">
        <v>46167.0</v>
      </c>
    </row>
    <row r="19">
      <c r="C19" s="33" t="s">
        <v>4</v>
      </c>
      <c r="D19" s="36">
        <v>46198.0</v>
      </c>
      <c r="E19" s="34" t="s">
        <v>66</v>
      </c>
    </row>
    <row r="20">
      <c r="C20" s="28" t="s">
        <v>9</v>
      </c>
      <c r="D20" s="35">
        <v>46228.0</v>
      </c>
      <c r="E20" s="34" t="s">
        <v>67</v>
      </c>
    </row>
    <row r="21">
      <c r="C21" s="28" t="s">
        <v>2</v>
      </c>
      <c r="D21" s="35">
        <v>46259.0</v>
      </c>
    </row>
    <row r="22">
      <c r="C22" s="28" t="s">
        <v>68</v>
      </c>
      <c r="D22" s="35">
        <v>46290.0</v>
      </c>
    </row>
    <row r="23">
      <c r="C23" s="28" t="s">
        <v>5</v>
      </c>
      <c r="D23" s="35">
        <v>46320.0</v>
      </c>
    </row>
    <row r="24">
      <c r="C24" s="28" t="s">
        <v>26</v>
      </c>
      <c r="D24" s="35">
        <v>46351.0</v>
      </c>
    </row>
    <row r="25">
      <c r="C25" s="33" t="s">
        <v>63</v>
      </c>
      <c r="D25" s="36">
        <v>46381.0</v>
      </c>
      <c r="E25" s="34" t="s">
        <v>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.5"/>
    <col customWidth="1" min="3" max="3" width="10.13"/>
    <col customWidth="1" hidden="1" min="4" max="5" width="10.13"/>
    <col customWidth="1" min="6" max="6" width="10.13"/>
    <col customWidth="1" min="7" max="8" width="6.38"/>
  </cols>
  <sheetData>
    <row r="2">
      <c r="B2" s="37"/>
      <c r="C2" s="38">
        <v>46155.0</v>
      </c>
      <c r="D2" s="38">
        <v>46161.0</v>
      </c>
      <c r="E2" s="38">
        <v>46162.0</v>
      </c>
      <c r="G2" s="2" t="s">
        <v>69</v>
      </c>
      <c r="H2" s="39">
        <v>1.0</v>
      </c>
    </row>
    <row r="3">
      <c r="B3" s="40" t="s">
        <v>0</v>
      </c>
      <c r="C3" s="5">
        <v>1.0</v>
      </c>
      <c r="D3" s="5">
        <v>1.0</v>
      </c>
      <c r="E3" s="5">
        <v>1.0</v>
      </c>
      <c r="G3" s="2" t="s">
        <v>70</v>
      </c>
      <c r="H3" s="10">
        <v>0.5</v>
      </c>
    </row>
    <row r="4">
      <c r="B4" s="41" t="s">
        <v>71</v>
      </c>
      <c r="C4" s="5">
        <v>0.25</v>
      </c>
      <c r="D4" s="5">
        <v>0.25</v>
      </c>
      <c r="E4" s="5">
        <v>0.5</v>
      </c>
      <c r="G4" s="2" t="s">
        <v>72</v>
      </c>
      <c r="H4" s="42">
        <v>0.25</v>
      </c>
    </row>
    <row r="5">
      <c r="B5" s="41" t="s">
        <v>1</v>
      </c>
      <c r="C5" s="5">
        <v>1.0</v>
      </c>
      <c r="D5" s="5">
        <v>0.25</v>
      </c>
      <c r="E5" s="5">
        <v>0.5</v>
      </c>
      <c r="G5" s="2" t="s">
        <v>73</v>
      </c>
      <c r="H5" s="43">
        <v>0.0</v>
      </c>
    </row>
    <row r="6">
      <c r="B6" s="41" t="s">
        <v>25</v>
      </c>
      <c r="C6" s="5">
        <v>1.0</v>
      </c>
      <c r="D6" s="5">
        <v>0.0</v>
      </c>
      <c r="E6" s="5">
        <v>0.0</v>
      </c>
    </row>
    <row r="7">
      <c r="B7" s="41" t="s">
        <v>2</v>
      </c>
      <c r="C7" s="5">
        <v>1.0</v>
      </c>
      <c r="D7" s="5">
        <v>1.0</v>
      </c>
      <c r="E7" s="5">
        <v>1.0</v>
      </c>
    </row>
    <row r="8">
      <c r="B8" s="41" t="s">
        <v>3</v>
      </c>
      <c r="C8" s="5">
        <v>0.0</v>
      </c>
      <c r="D8" s="5">
        <v>0.5</v>
      </c>
      <c r="E8" s="5">
        <v>0.0</v>
      </c>
    </row>
    <row r="9">
      <c r="B9" s="41" t="s">
        <v>4</v>
      </c>
      <c r="C9" s="5">
        <v>1.0</v>
      </c>
      <c r="D9" s="5">
        <v>1.0</v>
      </c>
      <c r="E9" s="5">
        <v>1.0</v>
      </c>
    </row>
    <row r="10">
      <c r="B10" s="41" t="s">
        <v>74</v>
      </c>
      <c r="C10" s="5">
        <v>1.0</v>
      </c>
      <c r="D10" s="5">
        <v>1.0</v>
      </c>
      <c r="E10" s="5">
        <v>1.0</v>
      </c>
    </row>
    <row r="11">
      <c r="B11" s="41" t="s">
        <v>26</v>
      </c>
      <c r="C11" s="5">
        <v>0.5</v>
      </c>
      <c r="D11" s="5">
        <v>0.5</v>
      </c>
      <c r="E11" s="5">
        <v>0.5</v>
      </c>
    </row>
    <row r="12">
      <c r="B12" s="41" t="s">
        <v>7</v>
      </c>
      <c r="C12" s="5">
        <v>1.0</v>
      </c>
      <c r="D12" s="5">
        <v>0.0</v>
      </c>
      <c r="E12" s="5">
        <v>1.0</v>
      </c>
    </row>
    <row r="13">
      <c r="B13" s="41" t="s">
        <v>8</v>
      </c>
      <c r="C13" s="5">
        <v>1.0</v>
      </c>
      <c r="D13" s="5">
        <v>0.5</v>
      </c>
      <c r="E13" s="5">
        <v>1.0</v>
      </c>
    </row>
    <row r="14">
      <c r="B14" s="41" t="s">
        <v>10</v>
      </c>
      <c r="C14" s="5">
        <v>1.0</v>
      </c>
      <c r="D14" s="5">
        <v>1.0</v>
      </c>
      <c r="E14" s="5">
        <v>1.0</v>
      </c>
    </row>
    <row r="16">
      <c r="B16" s="41" t="s">
        <v>75</v>
      </c>
      <c r="C16" s="4">
        <f t="shared" ref="C16:E16" si="1">sum(C3:C14)</f>
        <v>9.75</v>
      </c>
      <c r="D16" s="4">
        <f t="shared" si="1"/>
        <v>7</v>
      </c>
      <c r="E16" s="4">
        <f t="shared" si="1"/>
        <v>8.5</v>
      </c>
    </row>
    <row r="18">
      <c r="B18" s="41" t="s">
        <v>76</v>
      </c>
      <c r="C18" s="4">
        <f t="shared" ref="C18:E18" si="2">countif(C3:C14,1)</f>
        <v>9</v>
      </c>
      <c r="D18" s="4">
        <f t="shared" si="2"/>
        <v>5</v>
      </c>
      <c r="E18" s="4">
        <f t="shared" si="2"/>
        <v>7</v>
      </c>
    </row>
    <row r="21">
      <c r="B21" s="37"/>
      <c r="C21" s="44">
        <v>46083.0</v>
      </c>
      <c r="D21" s="44"/>
      <c r="E21" s="44">
        <v>46084.0</v>
      </c>
    </row>
    <row r="22">
      <c r="B22" s="40" t="s">
        <v>0</v>
      </c>
      <c r="C22" s="5">
        <v>1.0</v>
      </c>
      <c r="D22" s="5"/>
      <c r="E22" s="5">
        <v>1.0</v>
      </c>
    </row>
    <row r="23">
      <c r="B23" s="41" t="s">
        <v>71</v>
      </c>
      <c r="C23" s="5">
        <v>0.0</v>
      </c>
      <c r="D23" s="5"/>
      <c r="E23" s="5">
        <v>0.0</v>
      </c>
    </row>
    <row r="24">
      <c r="B24" s="41" t="s">
        <v>1</v>
      </c>
      <c r="C24" s="5">
        <v>1.0</v>
      </c>
      <c r="D24" s="5"/>
      <c r="E24" s="5">
        <v>1.0</v>
      </c>
    </row>
    <row r="25">
      <c r="B25" s="41" t="s">
        <v>25</v>
      </c>
      <c r="C25" s="5">
        <v>0.0</v>
      </c>
      <c r="D25" s="5"/>
      <c r="E25" s="5">
        <v>0.0</v>
      </c>
    </row>
    <row r="26">
      <c r="B26" s="41" t="s">
        <v>2</v>
      </c>
      <c r="C26" s="5">
        <v>0.0</v>
      </c>
      <c r="D26" s="5"/>
      <c r="E26" s="5">
        <v>0.0</v>
      </c>
    </row>
    <row r="27">
      <c r="B27" s="41" t="s">
        <v>3</v>
      </c>
      <c r="C27" s="5">
        <v>0.0</v>
      </c>
      <c r="D27" s="5"/>
      <c r="E27" s="5">
        <v>0.5</v>
      </c>
    </row>
    <row r="28">
      <c r="B28" s="41" t="s">
        <v>4</v>
      </c>
      <c r="C28" s="5">
        <v>1.0</v>
      </c>
      <c r="D28" s="5"/>
      <c r="E28" s="5">
        <v>1.0</v>
      </c>
    </row>
    <row r="29">
      <c r="B29" s="41" t="s">
        <v>74</v>
      </c>
      <c r="C29" s="5">
        <v>0.5</v>
      </c>
      <c r="D29" s="5"/>
      <c r="E29" s="5">
        <v>0.5</v>
      </c>
    </row>
    <row r="30">
      <c r="B30" s="41" t="s">
        <v>26</v>
      </c>
      <c r="C30" s="5">
        <v>0.5</v>
      </c>
      <c r="D30" s="5"/>
      <c r="E30" s="5">
        <v>1.0</v>
      </c>
    </row>
    <row r="31">
      <c r="B31" s="41" t="s">
        <v>7</v>
      </c>
      <c r="C31" s="5">
        <v>1.0</v>
      </c>
      <c r="D31" s="5"/>
      <c r="E31" s="5">
        <v>0.5</v>
      </c>
    </row>
    <row r="32">
      <c r="B32" s="41" t="s">
        <v>8</v>
      </c>
      <c r="C32" s="5">
        <v>0.5</v>
      </c>
      <c r="D32" s="5"/>
      <c r="E32" s="5">
        <v>0.5</v>
      </c>
    </row>
    <row r="33">
      <c r="B33" s="41" t="s">
        <v>10</v>
      </c>
      <c r="C33" s="5">
        <v>1.0</v>
      </c>
      <c r="D33" s="5"/>
      <c r="E33" s="5">
        <v>0.5</v>
      </c>
    </row>
    <row r="35">
      <c r="B35" s="41" t="s">
        <v>75</v>
      </c>
      <c r="C35" s="4">
        <f>sum(C22:C33)</f>
        <v>6.5</v>
      </c>
      <c r="D35" s="4"/>
      <c r="E35" s="4">
        <f>sum(E22:E33)</f>
        <v>6.5</v>
      </c>
    </row>
    <row r="37">
      <c r="B37" s="41" t="s">
        <v>76</v>
      </c>
      <c r="C37" s="4">
        <f>countif(C22:C33,1)</f>
        <v>5</v>
      </c>
      <c r="D37" s="4"/>
      <c r="E37" s="4">
        <f>countif(E22:E33,1)</f>
        <v>4</v>
      </c>
    </row>
  </sheetData>
  <conditionalFormatting sqref="C1:E1 C15:E19 F15 F17 C34:E37">
    <cfRule type="colorScale" priority="1">
      <colorScale>
        <cfvo type="min"/>
        <cfvo type="max"/>
        <color rgb="FFFFFFFF"/>
        <color rgb="FF57BB8A"/>
      </colorScale>
    </cfRule>
  </conditionalFormatting>
  <conditionalFormatting sqref="C2:E15 F2:F13 C21:E34">
    <cfRule type="cellIs" dxfId="2" priority="2" operator="equal">
      <formula>0</formula>
    </cfRule>
  </conditionalFormatting>
  <conditionalFormatting sqref="C2:E15 F2:F13 C21:E34">
    <cfRule type="cellIs" dxfId="3" priority="3" operator="equal">
      <formula>0.25</formula>
    </cfRule>
  </conditionalFormatting>
  <conditionalFormatting sqref="C2:E15 F2:F13 C21:E34">
    <cfRule type="cellIs" dxfId="4" priority="4" operator="equal">
      <formula>0.5</formula>
    </cfRule>
  </conditionalFormatting>
  <conditionalFormatting sqref="C2:E15 F2:F13 C21:E34">
    <cfRule type="cellIs" dxfId="5" priority="5" operator="equal">
      <formula>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</cols>
  <sheetData>
    <row r="1">
      <c r="B1" s="34" t="s">
        <v>77</v>
      </c>
    </row>
    <row r="2">
      <c r="B2" s="45" t="s">
        <v>78</v>
      </c>
      <c r="K2" s="46"/>
      <c r="L2" s="46"/>
      <c r="M2" s="47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7"/>
      <c r="N3" s="46"/>
      <c r="O3" s="48">
        <v>1.0</v>
      </c>
      <c r="P3" s="49">
        <v>2.0</v>
      </c>
      <c r="Q3" s="49">
        <v>3.0</v>
      </c>
      <c r="R3" s="49">
        <v>4.0</v>
      </c>
      <c r="S3" s="49">
        <v>5.0</v>
      </c>
      <c r="T3" s="49">
        <v>6.0</v>
      </c>
      <c r="U3" s="49">
        <v>7.0</v>
      </c>
      <c r="V3" s="49">
        <v>8.0</v>
      </c>
      <c r="W3" s="49">
        <v>9.0</v>
      </c>
      <c r="X3" s="49">
        <v>10.0</v>
      </c>
      <c r="Y3" s="49">
        <v>11.0</v>
      </c>
      <c r="Z3" s="49">
        <v>12.0</v>
      </c>
    </row>
    <row r="4">
      <c r="B4" s="46"/>
      <c r="C4" s="50" t="s">
        <v>79</v>
      </c>
      <c r="D4" s="51"/>
      <c r="E4" s="52" t="s">
        <v>80</v>
      </c>
      <c r="F4" s="51"/>
      <c r="G4" s="52" t="s">
        <v>81</v>
      </c>
      <c r="H4" s="51"/>
      <c r="I4" s="52" t="s">
        <v>82</v>
      </c>
      <c r="J4" s="51"/>
      <c r="K4" s="46"/>
      <c r="L4" s="46"/>
      <c r="M4" s="47"/>
      <c r="N4" s="46"/>
      <c r="O4" s="53" t="s">
        <v>83</v>
      </c>
      <c r="P4" s="54" t="s">
        <v>84</v>
      </c>
      <c r="Q4" s="54" t="s">
        <v>83</v>
      </c>
      <c r="R4" s="54" t="s">
        <v>84</v>
      </c>
      <c r="S4" s="54" t="s">
        <v>83</v>
      </c>
      <c r="T4" s="54" t="s">
        <v>84</v>
      </c>
      <c r="U4" s="54" t="s">
        <v>83</v>
      </c>
      <c r="V4" s="54" t="s">
        <v>84</v>
      </c>
      <c r="W4" s="54" t="s">
        <v>83</v>
      </c>
      <c r="X4" s="54" t="s">
        <v>84</v>
      </c>
      <c r="Y4" s="54" t="s">
        <v>83</v>
      </c>
      <c r="Z4" s="54" t="s">
        <v>84</v>
      </c>
    </row>
    <row r="5">
      <c r="B5" s="55">
        <v>1.0</v>
      </c>
      <c r="C5" s="56" t="s">
        <v>85</v>
      </c>
      <c r="D5" s="51"/>
      <c r="E5" s="56" t="s">
        <v>86</v>
      </c>
      <c r="F5" s="51"/>
      <c r="G5" s="56" t="s">
        <v>87</v>
      </c>
      <c r="H5" s="51"/>
      <c r="I5" s="56" t="s">
        <v>88</v>
      </c>
      <c r="J5" s="51"/>
      <c r="K5" s="46"/>
      <c r="L5" s="46"/>
      <c r="M5" s="48">
        <v>1.0</v>
      </c>
      <c r="N5" s="57" t="s">
        <v>0</v>
      </c>
      <c r="O5" s="58" t="s">
        <v>86</v>
      </c>
      <c r="P5" s="58" t="s">
        <v>89</v>
      </c>
      <c r="Q5" s="58" t="s">
        <v>90</v>
      </c>
      <c r="R5" s="58" t="s">
        <v>91</v>
      </c>
      <c r="S5" s="58" t="s">
        <v>92</v>
      </c>
      <c r="T5" s="58" t="s">
        <v>93</v>
      </c>
      <c r="U5" s="58" t="s">
        <v>94</v>
      </c>
      <c r="V5" s="58" t="s">
        <v>95</v>
      </c>
      <c r="W5" s="58" t="s">
        <v>96</v>
      </c>
      <c r="X5" s="58" t="s">
        <v>97</v>
      </c>
      <c r="Y5" s="58" t="s">
        <v>98</v>
      </c>
      <c r="Z5" s="58" t="s">
        <v>99</v>
      </c>
    </row>
    <row r="6">
      <c r="B6" s="59">
        <v>1.0</v>
      </c>
      <c r="C6" s="56" t="s">
        <v>85</v>
      </c>
      <c r="D6" s="51"/>
      <c r="E6" s="56" t="s">
        <v>86</v>
      </c>
      <c r="F6" s="51"/>
      <c r="G6" s="56" t="s">
        <v>87</v>
      </c>
      <c r="H6" s="51"/>
      <c r="I6" s="56" t="s">
        <v>88</v>
      </c>
      <c r="J6" s="51"/>
      <c r="K6" s="46"/>
      <c r="L6" s="46"/>
      <c r="M6" s="60">
        <v>2.0</v>
      </c>
      <c r="N6" s="58" t="s">
        <v>74</v>
      </c>
      <c r="O6" s="58" t="s">
        <v>85</v>
      </c>
      <c r="P6" s="58" t="s">
        <v>100</v>
      </c>
      <c r="Q6" s="58" t="s">
        <v>101</v>
      </c>
      <c r="R6" s="58" t="s">
        <v>92</v>
      </c>
      <c r="S6" s="58" t="s">
        <v>102</v>
      </c>
      <c r="T6" s="58" t="s">
        <v>93</v>
      </c>
      <c r="U6" s="58" t="s">
        <v>94</v>
      </c>
      <c r="V6" s="58" t="s">
        <v>96</v>
      </c>
      <c r="W6" s="58" t="s">
        <v>95</v>
      </c>
      <c r="X6" s="58" t="s">
        <v>103</v>
      </c>
      <c r="Y6" s="58" t="s">
        <v>104</v>
      </c>
      <c r="Z6" s="58" t="s">
        <v>105</v>
      </c>
    </row>
    <row r="7">
      <c r="B7" s="59">
        <v>1.0</v>
      </c>
      <c r="C7" s="56" t="s">
        <v>85</v>
      </c>
      <c r="D7" s="51"/>
      <c r="E7" s="56" t="s">
        <v>86</v>
      </c>
      <c r="F7" s="51"/>
      <c r="G7" s="56" t="s">
        <v>87</v>
      </c>
      <c r="H7" s="51"/>
      <c r="I7" s="56" t="s">
        <v>88</v>
      </c>
      <c r="J7" s="51"/>
      <c r="K7" s="46"/>
      <c r="L7" s="46"/>
      <c r="M7" s="60">
        <v>3.0</v>
      </c>
      <c r="N7" s="58" t="s">
        <v>71</v>
      </c>
      <c r="O7" s="58" t="s">
        <v>86</v>
      </c>
      <c r="P7" s="58" t="s">
        <v>89</v>
      </c>
      <c r="Q7" s="58" t="s">
        <v>106</v>
      </c>
      <c r="R7" s="58" t="s">
        <v>107</v>
      </c>
      <c r="S7" s="58" t="s">
        <v>108</v>
      </c>
      <c r="T7" s="58" t="s">
        <v>109</v>
      </c>
      <c r="U7" s="58" t="s">
        <v>93</v>
      </c>
      <c r="V7" s="58" t="s">
        <v>110</v>
      </c>
      <c r="W7" s="58" t="s">
        <v>111</v>
      </c>
      <c r="X7" s="58" t="s">
        <v>112</v>
      </c>
      <c r="Y7" s="58" t="s">
        <v>113</v>
      </c>
      <c r="Z7" s="58" t="s">
        <v>114</v>
      </c>
    </row>
    <row r="8">
      <c r="B8" s="59">
        <v>2.0</v>
      </c>
      <c r="C8" s="56" t="s">
        <v>100</v>
      </c>
      <c r="D8" s="51"/>
      <c r="E8" s="56" t="s">
        <v>106</v>
      </c>
      <c r="F8" s="51"/>
      <c r="G8" s="56" t="s">
        <v>115</v>
      </c>
      <c r="H8" s="51"/>
      <c r="I8" s="56" t="s">
        <v>89</v>
      </c>
      <c r="J8" s="51"/>
      <c r="K8" s="46"/>
      <c r="L8" s="46"/>
      <c r="M8" s="60">
        <v>4.0</v>
      </c>
      <c r="N8" s="61" t="s">
        <v>8</v>
      </c>
      <c r="O8" s="58" t="s">
        <v>86</v>
      </c>
      <c r="P8" s="58" t="s">
        <v>115</v>
      </c>
      <c r="Q8" s="58" t="s">
        <v>106</v>
      </c>
      <c r="R8" s="58" t="s">
        <v>107</v>
      </c>
      <c r="S8" s="58" t="s">
        <v>108</v>
      </c>
      <c r="T8" s="58" t="s">
        <v>116</v>
      </c>
      <c r="U8" s="58" t="s">
        <v>117</v>
      </c>
      <c r="V8" s="58" t="s">
        <v>109</v>
      </c>
      <c r="W8" s="58" t="s">
        <v>118</v>
      </c>
      <c r="X8" s="58" t="s">
        <v>119</v>
      </c>
      <c r="Y8" s="58" t="s">
        <v>120</v>
      </c>
      <c r="Z8" s="58" t="s">
        <v>121</v>
      </c>
    </row>
    <row r="9">
      <c r="B9" s="59">
        <v>2.0</v>
      </c>
      <c r="C9" s="56" t="s">
        <v>100</v>
      </c>
      <c r="D9" s="51"/>
      <c r="E9" s="56" t="s">
        <v>106</v>
      </c>
      <c r="F9" s="51"/>
      <c r="G9" s="56" t="s">
        <v>115</v>
      </c>
      <c r="H9" s="51"/>
      <c r="I9" s="56" t="s">
        <v>89</v>
      </c>
      <c r="J9" s="51"/>
      <c r="K9" s="46"/>
      <c r="L9" s="46"/>
      <c r="M9" s="60">
        <v>5.0</v>
      </c>
      <c r="N9" s="58" t="s">
        <v>4</v>
      </c>
      <c r="O9" s="58" t="s">
        <v>85</v>
      </c>
      <c r="P9" s="58" t="s">
        <v>115</v>
      </c>
      <c r="Q9" s="58" t="s">
        <v>122</v>
      </c>
      <c r="R9" s="58" t="s">
        <v>92</v>
      </c>
      <c r="S9" s="58" t="s">
        <v>108</v>
      </c>
      <c r="T9" s="58" t="s">
        <v>109</v>
      </c>
      <c r="U9" s="58" t="s">
        <v>123</v>
      </c>
      <c r="V9" s="58" t="s">
        <v>124</v>
      </c>
      <c r="W9" s="58" t="s">
        <v>95</v>
      </c>
      <c r="X9" s="58" t="s">
        <v>125</v>
      </c>
      <c r="Y9" s="58" t="s">
        <v>126</v>
      </c>
      <c r="Z9" s="58" t="s">
        <v>127</v>
      </c>
    </row>
    <row r="10">
      <c r="B10" s="59">
        <v>2.0</v>
      </c>
      <c r="C10" s="56" t="s">
        <v>100</v>
      </c>
      <c r="D10" s="51"/>
      <c r="E10" s="56" t="s">
        <v>106</v>
      </c>
      <c r="F10" s="51"/>
      <c r="G10" s="56" t="s">
        <v>115</v>
      </c>
      <c r="H10" s="51"/>
      <c r="I10" s="56" t="s">
        <v>89</v>
      </c>
      <c r="J10" s="51"/>
      <c r="K10" s="46"/>
      <c r="L10" s="46"/>
      <c r="M10" s="60">
        <v>6.0</v>
      </c>
      <c r="N10" s="58" t="s">
        <v>25</v>
      </c>
      <c r="O10" s="58" t="s">
        <v>88</v>
      </c>
      <c r="P10" s="58" t="s">
        <v>115</v>
      </c>
      <c r="Q10" s="58" t="s">
        <v>101</v>
      </c>
      <c r="R10" s="58" t="s">
        <v>128</v>
      </c>
      <c r="S10" s="58" t="s">
        <v>91</v>
      </c>
      <c r="T10" s="58" t="s">
        <v>129</v>
      </c>
      <c r="U10" s="58" t="s">
        <v>130</v>
      </c>
      <c r="V10" s="58" t="s">
        <v>131</v>
      </c>
      <c r="W10" s="58" t="s">
        <v>132</v>
      </c>
      <c r="X10" s="58" t="s">
        <v>133</v>
      </c>
      <c r="Y10" s="58" t="s">
        <v>134</v>
      </c>
      <c r="Z10" s="58" t="s">
        <v>135</v>
      </c>
    </row>
    <row r="11">
      <c r="B11" s="59">
        <v>3.0</v>
      </c>
      <c r="C11" s="56" t="s">
        <v>128</v>
      </c>
      <c r="D11" s="51"/>
      <c r="E11" s="56" t="s">
        <v>101</v>
      </c>
      <c r="F11" s="51"/>
      <c r="G11" s="56" t="s">
        <v>107</v>
      </c>
      <c r="H11" s="51"/>
      <c r="I11" s="56" t="s">
        <v>122</v>
      </c>
      <c r="J11" s="51"/>
      <c r="K11" s="46"/>
      <c r="L11" s="46"/>
      <c r="M11" s="60">
        <v>7.0</v>
      </c>
      <c r="N11" s="61" t="s">
        <v>2</v>
      </c>
      <c r="O11" s="58" t="s">
        <v>88</v>
      </c>
      <c r="P11" s="58" t="s">
        <v>100</v>
      </c>
      <c r="Q11" s="58" t="s">
        <v>90</v>
      </c>
      <c r="R11" s="58" t="s">
        <v>101</v>
      </c>
      <c r="S11" s="58" t="s">
        <v>102</v>
      </c>
      <c r="T11" s="58" t="s">
        <v>116</v>
      </c>
      <c r="U11" s="58" t="s">
        <v>123</v>
      </c>
      <c r="V11" s="58" t="s">
        <v>124</v>
      </c>
      <c r="W11" s="58" t="s">
        <v>136</v>
      </c>
      <c r="X11" s="58" t="s">
        <v>137</v>
      </c>
      <c r="Y11" s="58" t="s">
        <v>138</v>
      </c>
      <c r="Z11" s="58" t="s">
        <v>139</v>
      </c>
    </row>
    <row r="12">
      <c r="B12" s="59">
        <v>3.0</v>
      </c>
      <c r="C12" s="56" t="s">
        <v>128</v>
      </c>
      <c r="D12" s="51"/>
      <c r="E12" s="56" t="s">
        <v>101</v>
      </c>
      <c r="F12" s="51"/>
      <c r="G12" s="56" t="s">
        <v>107</v>
      </c>
      <c r="H12" s="51"/>
      <c r="I12" s="56" t="s">
        <v>122</v>
      </c>
      <c r="J12" s="51"/>
      <c r="K12" s="46"/>
      <c r="L12" s="46"/>
      <c r="M12" s="60">
        <v>8.0</v>
      </c>
      <c r="N12" s="58" t="s">
        <v>140</v>
      </c>
      <c r="O12" s="58" t="s">
        <v>88</v>
      </c>
      <c r="P12" s="58" t="s">
        <v>89</v>
      </c>
      <c r="Q12" s="58" t="s">
        <v>122</v>
      </c>
      <c r="R12" s="58" t="s">
        <v>90</v>
      </c>
      <c r="S12" s="58" t="s">
        <v>141</v>
      </c>
      <c r="T12" s="58" t="s">
        <v>142</v>
      </c>
      <c r="U12" s="58" t="s">
        <v>124</v>
      </c>
      <c r="V12" s="58" t="s">
        <v>143</v>
      </c>
      <c r="W12" s="58" t="s">
        <v>111</v>
      </c>
      <c r="X12" s="58" t="s">
        <v>136</v>
      </c>
      <c r="Y12" s="58" t="s">
        <v>144</v>
      </c>
      <c r="Z12" s="58" t="s">
        <v>145</v>
      </c>
    </row>
    <row r="13">
      <c r="B13" s="59">
        <v>3.0</v>
      </c>
      <c r="C13" s="56" t="s">
        <v>128</v>
      </c>
      <c r="D13" s="51"/>
      <c r="E13" s="56" t="s">
        <v>101</v>
      </c>
      <c r="F13" s="51"/>
      <c r="G13" s="56" t="s">
        <v>107</v>
      </c>
      <c r="H13" s="51"/>
      <c r="I13" s="56" t="s">
        <v>122</v>
      </c>
      <c r="J13" s="51"/>
      <c r="K13" s="46"/>
      <c r="L13" s="46"/>
      <c r="M13" s="60">
        <v>9.0</v>
      </c>
      <c r="N13" s="58" t="s">
        <v>7</v>
      </c>
      <c r="O13" s="58" t="s">
        <v>85</v>
      </c>
      <c r="P13" s="58" t="s">
        <v>87</v>
      </c>
      <c r="Q13" s="58" t="s">
        <v>122</v>
      </c>
      <c r="R13" s="58" t="s">
        <v>128</v>
      </c>
      <c r="S13" s="58" t="s">
        <v>102</v>
      </c>
      <c r="T13" s="58" t="s">
        <v>142</v>
      </c>
      <c r="U13" s="58" t="s">
        <v>146</v>
      </c>
      <c r="V13" s="58" t="s">
        <v>118</v>
      </c>
      <c r="W13" s="58" t="s">
        <v>136</v>
      </c>
      <c r="X13" s="58" t="s">
        <v>147</v>
      </c>
      <c r="Y13" s="58" t="s">
        <v>148</v>
      </c>
      <c r="Z13" s="58" t="s">
        <v>149</v>
      </c>
    </row>
    <row r="14">
      <c r="B14" s="59">
        <v>4.0</v>
      </c>
      <c r="C14" s="56" t="s">
        <v>108</v>
      </c>
      <c r="D14" s="51"/>
      <c r="E14" s="56" t="s">
        <v>92</v>
      </c>
      <c r="F14" s="51"/>
      <c r="G14" s="56" t="s">
        <v>102</v>
      </c>
      <c r="H14" s="51"/>
      <c r="I14" s="56" t="s">
        <v>90</v>
      </c>
      <c r="J14" s="51"/>
      <c r="K14" s="46"/>
      <c r="L14" s="46"/>
      <c r="M14" s="60">
        <v>10.0</v>
      </c>
      <c r="N14" s="58" t="s">
        <v>150</v>
      </c>
      <c r="O14" s="58" t="s">
        <v>87</v>
      </c>
      <c r="P14" s="58" t="s">
        <v>100</v>
      </c>
      <c r="Q14" s="58" t="s">
        <v>91</v>
      </c>
      <c r="R14" s="58" t="s">
        <v>141</v>
      </c>
      <c r="S14" s="58" t="s">
        <v>117</v>
      </c>
      <c r="T14" s="58" t="s">
        <v>142</v>
      </c>
      <c r="U14" s="58" t="s">
        <v>118</v>
      </c>
      <c r="V14" s="58" t="s">
        <v>123</v>
      </c>
      <c r="W14" s="58" t="s">
        <v>111</v>
      </c>
      <c r="X14" s="58" t="s">
        <v>147</v>
      </c>
      <c r="Y14" s="58" t="s">
        <v>151</v>
      </c>
      <c r="Z14" s="58" t="s">
        <v>152</v>
      </c>
    </row>
    <row r="15">
      <c r="B15" s="59">
        <v>4.0</v>
      </c>
      <c r="C15" s="56" t="s">
        <v>108</v>
      </c>
      <c r="D15" s="51"/>
      <c r="E15" s="56" t="s">
        <v>92</v>
      </c>
      <c r="F15" s="51"/>
      <c r="G15" s="56" t="s">
        <v>102</v>
      </c>
      <c r="H15" s="51"/>
      <c r="I15" s="56" t="s">
        <v>90</v>
      </c>
      <c r="J15" s="51"/>
      <c r="K15" s="46"/>
      <c r="L15" s="46"/>
      <c r="M15" s="60">
        <v>11.0</v>
      </c>
      <c r="N15" s="58" t="s">
        <v>1</v>
      </c>
      <c r="O15" s="58" t="s">
        <v>106</v>
      </c>
      <c r="P15" s="58" t="s">
        <v>87</v>
      </c>
      <c r="Q15" s="58" t="s">
        <v>128</v>
      </c>
      <c r="R15" s="58" t="s">
        <v>107</v>
      </c>
      <c r="S15" s="58" t="s">
        <v>116</v>
      </c>
      <c r="T15" s="58" t="s">
        <v>141</v>
      </c>
      <c r="U15" s="58" t="s">
        <v>94</v>
      </c>
      <c r="V15" s="58" t="s">
        <v>117</v>
      </c>
      <c r="W15" s="58" t="s">
        <v>147</v>
      </c>
      <c r="X15" s="58" t="s">
        <v>96</v>
      </c>
      <c r="Y15" s="58" t="s">
        <v>153</v>
      </c>
      <c r="Z15" s="58" t="s">
        <v>154</v>
      </c>
    </row>
    <row r="16">
      <c r="B16" s="59">
        <v>4.0</v>
      </c>
      <c r="C16" s="56" t="s">
        <v>108</v>
      </c>
      <c r="D16" s="51"/>
      <c r="E16" s="56" t="s">
        <v>92</v>
      </c>
      <c r="F16" s="51"/>
      <c r="G16" s="56" t="s">
        <v>102</v>
      </c>
      <c r="H16" s="51"/>
      <c r="I16" s="56" t="s">
        <v>90</v>
      </c>
      <c r="J16" s="51"/>
      <c r="K16" s="46"/>
      <c r="L16" s="46"/>
      <c r="M16" s="47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B17" s="59">
        <v>5.0</v>
      </c>
      <c r="C17" s="56" t="s">
        <v>91</v>
      </c>
      <c r="D17" s="51"/>
      <c r="E17" s="56" t="s">
        <v>142</v>
      </c>
      <c r="F17" s="51"/>
      <c r="G17" s="56" t="s">
        <v>117</v>
      </c>
      <c r="H17" s="51"/>
      <c r="I17" s="56" t="s">
        <v>141</v>
      </c>
      <c r="J17" s="51"/>
      <c r="K17" s="46"/>
      <c r="L17" s="46"/>
      <c r="M17" s="47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B18" s="59">
        <v>5.0</v>
      </c>
      <c r="C18" s="56" t="s">
        <v>91</v>
      </c>
      <c r="D18" s="51"/>
      <c r="E18" s="56" t="s">
        <v>142</v>
      </c>
      <c r="F18" s="51"/>
      <c r="G18" s="56" t="s">
        <v>117</v>
      </c>
      <c r="H18" s="51"/>
      <c r="I18" s="56" t="s">
        <v>141</v>
      </c>
      <c r="J18" s="51"/>
      <c r="K18" s="46"/>
      <c r="L18" s="46"/>
      <c r="M18" s="47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B19" s="59">
        <v>5.0</v>
      </c>
      <c r="C19" s="56" t="s">
        <v>91</v>
      </c>
      <c r="D19" s="51"/>
      <c r="E19" s="56" t="s">
        <v>142</v>
      </c>
      <c r="F19" s="51"/>
      <c r="G19" s="56" t="s">
        <v>117</v>
      </c>
      <c r="H19" s="51"/>
      <c r="I19" s="56" t="s">
        <v>141</v>
      </c>
      <c r="J19" s="51"/>
      <c r="K19" s="46"/>
      <c r="L19" s="46"/>
      <c r="M19" s="47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B20" s="59">
        <v>6.0</v>
      </c>
      <c r="C20" s="56" t="s">
        <v>136</v>
      </c>
      <c r="D20" s="51"/>
      <c r="E20" s="56" t="s">
        <v>118</v>
      </c>
      <c r="F20" s="51"/>
      <c r="G20" s="56" t="s">
        <v>109</v>
      </c>
      <c r="H20" s="51"/>
      <c r="I20" s="56" t="s">
        <v>116</v>
      </c>
      <c r="J20" s="51"/>
      <c r="K20" s="46"/>
      <c r="L20" s="46"/>
      <c r="M20" s="6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B21" s="59">
        <v>6.0</v>
      </c>
      <c r="C21" s="56" t="s">
        <v>136</v>
      </c>
      <c r="D21" s="51"/>
      <c r="E21" s="56" t="s">
        <v>118</v>
      </c>
      <c r="F21" s="51"/>
      <c r="G21" s="56" t="s">
        <v>109</v>
      </c>
      <c r="H21" s="51"/>
      <c r="I21" s="56" t="s">
        <v>116</v>
      </c>
      <c r="J21" s="51"/>
      <c r="K21" s="46"/>
      <c r="L21" s="46"/>
      <c r="M21" s="62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B22" s="59">
        <v>6.0</v>
      </c>
      <c r="C22" s="56" t="s">
        <v>136</v>
      </c>
      <c r="D22" s="51"/>
      <c r="E22" s="56" t="s">
        <v>118</v>
      </c>
      <c r="F22" s="51"/>
      <c r="G22" s="56" t="s">
        <v>109</v>
      </c>
      <c r="H22" s="51"/>
      <c r="I22" s="56" t="s">
        <v>116</v>
      </c>
      <c r="J22" s="51"/>
      <c r="K22" s="46"/>
      <c r="L22" s="46"/>
      <c r="M22" s="62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B23" s="59">
        <v>7.0</v>
      </c>
      <c r="C23" s="56" t="s">
        <v>93</v>
      </c>
      <c r="D23" s="51"/>
      <c r="E23" s="56" t="s">
        <v>155</v>
      </c>
      <c r="F23" s="51"/>
      <c r="G23" s="56" t="s">
        <v>96</v>
      </c>
      <c r="H23" s="51"/>
      <c r="I23" s="56" t="s">
        <v>94</v>
      </c>
      <c r="J23" s="51"/>
      <c r="K23" s="46"/>
      <c r="L23" s="46"/>
      <c r="M23" s="47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B24" s="59">
        <v>7.0</v>
      </c>
      <c r="C24" s="56" t="s">
        <v>93</v>
      </c>
      <c r="D24" s="51"/>
      <c r="E24" s="56" t="s">
        <v>155</v>
      </c>
      <c r="F24" s="51"/>
      <c r="G24" s="56" t="s">
        <v>96</v>
      </c>
      <c r="H24" s="51"/>
      <c r="I24" s="56" t="s">
        <v>94</v>
      </c>
      <c r="J24" s="51"/>
      <c r="K24" s="46"/>
      <c r="L24" s="46"/>
      <c r="M24" s="47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B25" s="59">
        <v>7.0</v>
      </c>
      <c r="C25" s="56" t="s">
        <v>93</v>
      </c>
      <c r="D25" s="51"/>
      <c r="E25" s="56" t="s">
        <v>155</v>
      </c>
      <c r="F25" s="51"/>
      <c r="G25" s="56" t="s">
        <v>96</v>
      </c>
      <c r="H25" s="51"/>
      <c r="I25" s="56" t="s">
        <v>94</v>
      </c>
      <c r="J25" s="51"/>
      <c r="K25" s="46"/>
      <c r="L25" s="46"/>
      <c r="M25" s="47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B26" s="59">
        <v>8.0</v>
      </c>
      <c r="C26" s="56" t="s">
        <v>111</v>
      </c>
      <c r="D26" s="51"/>
      <c r="E26" s="56" t="s">
        <v>156</v>
      </c>
      <c r="F26" s="51"/>
      <c r="G26" s="56" t="s">
        <v>124</v>
      </c>
      <c r="H26" s="51"/>
      <c r="I26" s="56" t="s">
        <v>123</v>
      </c>
      <c r="J26" s="51"/>
      <c r="K26" s="46"/>
      <c r="L26" s="46"/>
      <c r="M26" s="47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B27" s="59">
        <v>8.0</v>
      </c>
      <c r="C27" s="56" t="s">
        <v>111</v>
      </c>
      <c r="D27" s="51"/>
      <c r="E27" s="56" t="s">
        <v>156</v>
      </c>
      <c r="F27" s="51"/>
      <c r="G27" s="56" t="s">
        <v>124</v>
      </c>
      <c r="H27" s="51"/>
      <c r="I27" s="56" t="s">
        <v>123</v>
      </c>
      <c r="J27" s="51"/>
      <c r="K27" s="46"/>
      <c r="L27" s="46"/>
      <c r="M27" s="47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B28" s="59">
        <v>8.0</v>
      </c>
      <c r="C28" s="56" t="s">
        <v>111</v>
      </c>
      <c r="D28" s="51"/>
      <c r="E28" s="56" t="s">
        <v>156</v>
      </c>
      <c r="F28" s="51"/>
      <c r="G28" s="56" t="s">
        <v>124</v>
      </c>
      <c r="H28" s="51"/>
      <c r="I28" s="56" t="s">
        <v>123</v>
      </c>
      <c r="J28" s="51"/>
      <c r="K28" s="46"/>
      <c r="L28" s="46"/>
      <c r="M28" s="47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B29" s="59">
        <v>9.0</v>
      </c>
      <c r="C29" s="56" t="s">
        <v>143</v>
      </c>
      <c r="D29" s="51"/>
      <c r="E29" s="56" t="s">
        <v>110</v>
      </c>
      <c r="F29" s="51"/>
      <c r="G29" s="56" t="s">
        <v>131</v>
      </c>
      <c r="H29" s="51"/>
      <c r="I29" s="56" t="s">
        <v>112</v>
      </c>
      <c r="J29" s="51"/>
      <c r="K29" s="46"/>
      <c r="L29" s="46"/>
      <c r="M29" s="47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B30" s="59">
        <v>10.0</v>
      </c>
      <c r="C30" s="56" t="s">
        <v>137</v>
      </c>
      <c r="D30" s="51"/>
      <c r="E30" s="56" t="s">
        <v>103</v>
      </c>
      <c r="F30" s="51"/>
      <c r="G30" s="56" t="s">
        <v>157</v>
      </c>
      <c r="H30" s="51"/>
      <c r="I30" s="56" t="s">
        <v>97</v>
      </c>
      <c r="J30" s="51"/>
      <c r="K30" s="46"/>
      <c r="L30" s="46"/>
      <c r="M30" s="47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B31" s="59">
        <v>11.0</v>
      </c>
      <c r="C31" s="63" t="s">
        <v>105</v>
      </c>
      <c r="D31" s="63" t="s">
        <v>146</v>
      </c>
      <c r="E31" s="56" t="s">
        <v>130</v>
      </c>
      <c r="F31" s="51"/>
      <c r="G31" s="63" t="s">
        <v>113</v>
      </c>
      <c r="H31" s="63" t="s">
        <v>125</v>
      </c>
      <c r="I31" s="56" t="s">
        <v>129</v>
      </c>
      <c r="J31" s="51"/>
      <c r="K31" s="46"/>
      <c r="L31" s="46"/>
      <c r="M31" s="47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B32" s="59">
        <v>12.0</v>
      </c>
      <c r="C32" s="56" t="s">
        <v>158</v>
      </c>
      <c r="D32" s="51"/>
      <c r="E32" s="56" t="s">
        <v>120</v>
      </c>
      <c r="F32" s="51"/>
      <c r="G32" s="56" t="s">
        <v>132</v>
      </c>
      <c r="H32" s="51"/>
      <c r="I32" s="56" t="s">
        <v>133</v>
      </c>
      <c r="J32" s="51"/>
      <c r="K32" s="46"/>
      <c r="L32" s="46"/>
      <c r="M32" s="47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B33" s="59">
        <v>13.0</v>
      </c>
      <c r="C33" s="56" t="s">
        <v>98</v>
      </c>
      <c r="D33" s="51"/>
      <c r="E33" s="56" t="s">
        <v>154</v>
      </c>
      <c r="F33" s="51"/>
      <c r="G33" s="56" t="s">
        <v>144</v>
      </c>
      <c r="H33" s="51"/>
      <c r="I33" s="56" t="s">
        <v>104</v>
      </c>
      <c r="J33" s="51"/>
      <c r="K33" s="46"/>
      <c r="L33" s="46"/>
      <c r="M33" s="47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B34" s="59">
        <v>14.0</v>
      </c>
      <c r="C34" s="56" t="s">
        <v>153</v>
      </c>
      <c r="D34" s="51"/>
      <c r="E34" s="56" t="s">
        <v>145</v>
      </c>
      <c r="F34" s="51"/>
      <c r="G34" s="56" t="s">
        <v>149</v>
      </c>
      <c r="H34" s="51"/>
      <c r="I34" s="56" t="s">
        <v>159</v>
      </c>
      <c r="J34" s="51"/>
      <c r="K34" s="46"/>
      <c r="L34" s="46"/>
      <c r="M34" s="47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B35" s="59">
        <v>15.0</v>
      </c>
      <c r="C35" s="56" t="s">
        <v>139</v>
      </c>
      <c r="D35" s="51"/>
      <c r="E35" s="56" t="s">
        <v>152</v>
      </c>
      <c r="F35" s="51"/>
      <c r="G35" s="56" t="s">
        <v>127</v>
      </c>
      <c r="H35" s="51"/>
      <c r="I35" s="56" t="s">
        <v>135</v>
      </c>
      <c r="J35" s="51"/>
      <c r="K35" s="46"/>
      <c r="L35" s="46"/>
      <c r="M35" s="47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B36" s="59">
        <v>16.0</v>
      </c>
      <c r="C36" s="63" t="s">
        <v>99</v>
      </c>
      <c r="D36" s="63" t="s">
        <v>160</v>
      </c>
      <c r="E36" s="63" t="s">
        <v>161</v>
      </c>
      <c r="F36" s="63" t="s">
        <v>114</v>
      </c>
      <c r="G36" s="56" t="s">
        <v>162</v>
      </c>
      <c r="H36" s="51"/>
      <c r="I36" s="56" t="s">
        <v>163</v>
      </c>
      <c r="J36" s="51"/>
      <c r="K36" s="46"/>
      <c r="L36" s="46"/>
      <c r="M36" s="47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7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</sheetData>
  <mergeCells count="129">
    <mergeCell ref="C10:D10"/>
    <mergeCell ref="E10:F10"/>
    <mergeCell ref="G10:H10"/>
    <mergeCell ref="I10:J10"/>
    <mergeCell ref="E11:F11"/>
    <mergeCell ref="G11:H11"/>
    <mergeCell ref="I11:J11"/>
    <mergeCell ref="C11:D11"/>
    <mergeCell ref="C12:D12"/>
    <mergeCell ref="E12:F12"/>
    <mergeCell ref="G12:H12"/>
    <mergeCell ref="I12:J12"/>
    <mergeCell ref="C13:D13"/>
    <mergeCell ref="E13:F13"/>
    <mergeCell ref="G5:H5"/>
    <mergeCell ref="I5:J5"/>
    <mergeCell ref="B2:J2"/>
    <mergeCell ref="C4:D4"/>
    <mergeCell ref="E4:F4"/>
    <mergeCell ref="G4:H4"/>
    <mergeCell ref="I4:J4"/>
    <mergeCell ref="C5:D5"/>
    <mergeCell ref="E5:F5"/>
    <mergeCell ref="C6:D6"/>
    <mergeCell ref="E6:F6"/>
    <mergeCell ref="G6:H6"/>
    <mergeCell ref="I6:J6"/>
    <mergeCell ref="E7:F7"/>
    <mergeCell ref="G7:H7"/>
    <mergeCell ref="I7:J7"/>
    <mergeCell ref="G9:H9"/>
    <mergeCell ref="I9:J9"/>
    <mergeCell ref="C7:D7"/>
    <mergeCell ref="C8:D8"/>
    <mergeCell ref="E8:F8"/>
    <mergeCell ref="G8:H8"/>
    <mergeCell ref="I8:J8"/>
    <mergeCell ref="C9:D9"/>
    <mergeCell ref="E9:F9"/>
    <mergeCell ref="G13:H13"/>
    <mergeCell ref="I13:J13"/>
    <mergeCell ref="G17:H17"/>
    <mergeCell ref="I17:J17"/>
    <mergeCell ref="C22:D22"/>
    <mergeCell ref="E22:F22"/>
    <mergeCell ref="G22:H22"/>
    <mergeCell ref="I22:J22"/>
    <mergeCell ref="E23:F23"/>
    <mergeCell ref="G23:H23"/>
    <mergeCell ref="I23:J23"/>
    <mergeCell ref="C23:D23"/>
    <mergeCell ref="C24:D24"/>
    <mergeCell ref="E24:F24"/>
    <mergeCell ref="G24:H24"/>
    <mergeCell ref="I24:J24"/>
    <mergeCell ref="C25:D25"/>
    <mergeCell ref="E25:F25"/>
    <mergeCell ref="C26:D26"/>
    <mergeCell ref="E26:F26"/>
    <mergeCell ref="G26:H26"/>
    <mergeCell ref="I26:J26"/>
    <mergeCell ref="E27:F27"/>
    <mergeCell ref="G27:H27"/>
    <mergeCell ref="I27:J27"/>
    <mergeCell ref="C27:D27"/>
    <mergeCell ref="C28:D28"/>
    <mergeCell ref="E28:F28"/>
    <mergeCell ref="G28:H28"/>
    <mergeCell ref="I28:J28"/>
    <mergeCell ref="C29:D29"/>
    <mergeCell ref="E29:F29"/>
    <mergeCell ref="E32:F32"/>
    <mergeCell ref="G32:H32"/>
    <mergeCell ref="I32:J32"/>
    <mergeCell ref="G29:H29"/>
    <mergeCell ref="I29:J29"/>
    <mergeCell ref="E30:F30"/>
    <mergeCell ref="G30:H30"/>
    <mergeCell ref="I30:J30"/>
    <mergeCell ref="E31:F31"/>
    <mergeCell ref="I31:J31"/>
    <mergeCell ref="E34:F34"/>
    <mergeCell ref="G34:H34"/>
    <mergeCell ref="C30:D30"/>
    <mergeCell ref="C32:D32"/>
    <mergeCell ref="C33:D33"/>
    <mergeCell ref="E33:F33"/>
    <mergeCell ref="G33:H33"/>
    <mergeCell ref="I33:J33"/>
    <mergeCell ref="I34:J34"/>
    <mergeCell ref="C14:D14"/>
    <mergeCell ref="E14:F14"/>
    <mergeCell ref="G14:H14"/>
    <mergeCell ref="I14:J14"/>
    <mergeCell ref="E15:F15"/>
    <mergeCell ref="G15:H15"/>
    <mergeCell ref="I15:J15"/>
    <mergeCell ref="C15:D15"/>
    <mergeCell ref="C16:D16"/>
    <mergeCell ref="E16:F16"/>
    <mergeCell ref="G16:H16"/>
    <mergeCell ref="I16:J16"/>
    <mergeCell ref="C17:D17"/>
    <mergeCell ref="E17:F17"/>
    <mergeCell ref="C18:D18"/>
    <mergeCell ref="E18:F18"/>
    <mergeCell ref="G18:H18"/>
    <mergeCell ref="I18:J18"/>
    <mergeCell ref="E19:F19"/>
    <mergeCell ref="G19:H19"/>
    <mergeCell ref="I19:J19"/>
    <mergeCell ref="G21:H21"/>
    <mergeCell ref="I21:J21"/>
    <mergeCell ref="C19:D19"/>
    <mergeCell ref="C20:D20"/>
    <mergeCell ref="E20:F20"/>
    <mergeCell ref="G20:H20"/>
    <mergeCell ref="I20:J20"/>
    <mergeCell ref="C21:D21"/>
    <mergeCell ref="E21:F21"/>
    <mergeCell ref="G25:H25"/>
    <mergeCell ref="I25:J25"/>
    <mergeCell ref="C34:D34"/>
    <mergeCell ref="C35:D35"/>
    <mergeCell ref="E35:F35"/>
    <mergeCell ref="G35:H35"/>
    <mergeCell ref="I35:J35"/>
    <mergeCell ref="G36:H36"/>
    <mergeCell ref="I36:J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